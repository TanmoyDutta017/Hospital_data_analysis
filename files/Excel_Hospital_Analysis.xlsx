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iamta\Desktop\"/>
    </mc:Choice>
  </mc:AlternateContent>
  <xr:revisionPtr revIDLastSave="0" documentId="13_ncr:1_{EE456B9D-AC81-401C-9695-08ED414F5601}" xr6:coauthVersionLast="47" xr6:coauthVersionMax="47" xr10:uidLastSave="{00000000-0000-0000-0000-000000000000}"/>
  <bookViews>
    <workbookView xWindow="-108" yWindow="-108" windowWidth="23256" windowHeight="13176" firstSheet="1" activeTab="1" xr2:uid="{24E649E6-4AAC-4B37-A537-165A33EEBDE9}"/>
  </bookViews>
  <sheets>
    <sheet name="Pivot" sheetId="1" state="hidden" r:id="rId1"/>
    <sheet name="Dahsboard" sheetId="2" r:id="rId2"/>
    <sheet name="Sheet1" sheetId="3" state="hidden" r:id="rId3"/>
  </sheets>
  <definedNames>
    <definedName name="Chart1">Sheet1!$B$2</definedName>
    <definedName name="Chart5">Sheet1!$CB$2</definedName>
    <definedName name="Chart6">Sheet1!$DJ$2</definedName>
    <definedName name="Slicer_Date__Month">#N/A</definedName>
    <definedName name="Slicer_Date__Year">#N/A</definedName>
  </definedNames>
  <calcPr calcId="191029"/>
  <pivotCaches>
    <pivotCache cacheId="667" r:id="rId4"/>
    <pivotCache cacheId="670" r:id="rId5"/>
    <pivotCache cacheId="673" r:id="rId6"/>
    <pivotCache cacheId="676" r:id="rId7"/>
    <pivotCache cacheId="679" r:id="rId8"/>
    <pivotCache cacheId="682" r:id="rId9"/>
    <pivotCache cacheId="685" r:id="rId10"/>
    <pivotCache cacheId="688" r:id="rId11"/>
    <pivotCache cacheId="691" r:id="rId12"/>
    <pivotCache cacheId="694" r:id="rId13"/>
    <pivotCache cacheId="697" r:id="rId14"/>
    <pivotCache cacheId="700" r:id="rId15"/>
  </pivotCaches>
  <extLst>
    <ext xmlns:x14="http://schemas.microsoft.com/office/spreadsheetml/2009/9/main" uri="{876F7934-8845-4945-9796-88D515C7AA90}">
      <x14:pivotCaches>
        <pivotCache cacheId="219"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e98a7bf9-1680-4ce2-825c-0b9781f301e8" name="Hospital Emergency Room Data" connection="Query - Hospital Emergency Room Data"/>
          <x15:modelTable id="Calendar_15bc8a27-ac41-41d6-85b5-b977b8a21fbb" name="Calendar" connection="Query - Calendar"/>
        </x15:modelTables>
        <x15:modelRelationships>
          <x15:modelRelationship fromTable="Hospital Emergency Room Data" fromColumn="Patient Admission Date" toTable="Calendar" toColumn="Date"/>
        </x15:modelRelationships>
        <x15:extLst>
          <ext xmlns:x16="http://schemas.microsoft.com/office/spreadsheetml/2014/11/main" uri="{9835A34E-60A6-4A7C-AAB8-D5F71C897F49}">
            <x16:modelTimeGroupings>
              <x16:modelTimeGrouping tableName="Calendar"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4" i="1" l="1"/>
  <c r="C54" i="1"/>
  <c r="A54" i="1"/>
  <c r="C53" i="1"/>
  <c r="B53" i="1"/>
  <c r="A5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E77FE7-0366-4C13-9344-A6E69CCCFACD}" name="Query - Calendar" description="Connection to the 'Calendar' query in the workbook." type="100" refreshedVersion="8" minRefreshableVersion="5">
    <extLst>
      <ext xmlns:x15="http://schemas.microsoft.com/office/spreadsheetml/2010/11/main" uri="{DE250136-89BD-433C-8126-D09CA5730AF9}">
        <x15:connection id="b1cee3cd-1831-401c-ab64-0cd68f413b6d"/>
      </ext>
    </extLst>
  </connection>
  <connection id="2" xr16:uid="{F6379BBD-B0FE-4826-B3B8-4E190D357EE8}"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2975328f-dca0-4584-8609-53786282256d"/>
      </ext>
    </extLst>
  </connection>
  <connection id="3" xr16:uid="{9D80AFE9-7943-4678-88B8-B49B4513562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<sst xmlns="http://schemas.openxmlformats.org/spreadsheetml/2006/main" count="150" uniqueCount="66">
  <si>
    <t>Distinct Count of Patient Id</t>
  </si>
  <si>
    <t>No of Patient</t>
  </si>
  <si>
    <t>Average of Patient Waittime</t>
  </si>
  <si>
    <t>Average of Patient Satisfaction Score</t>
  </si>
  <si>
    <t>Row Labels</t>
  </si>
  <si>
    <t>Grand Total</t>
  </si>
  <si>
    <t>Admitted</t>
  </si>
  <si>
    <t>Not Admitted</t>
  </si>
  <si>
    <t>Count</t>
  </si>
  <si>
    <t>%</t>
  </si>
  <si>
    <t>Admission Status</t>
  </si>
  <si>
    <t>No. of Patient</t>
  </si>
  <si>
    <t>% of Status</t>
  </si>
  <si>
    <t>0-9</t>
  </si>
  <si>
    <t>10-19</t>
  </si>
  <si>
    <t>20-29</t>
  </si>
  <si>
    <t>30-39</t>
  </si>
  <si>
    <t>40-49</t>
  </si>
  <si>
    <t>50-59</t>
  </si>
  <si>
    <t>60-69</t>
  </si>
  <si>
    <t>70-79</t>
  </si>
  <si>
    <t>No. of Patients by Age Group</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</si>
  <si>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</si>
  <si>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</si>
  <si>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</si>
  <si>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</si>
  <si>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</si>
  <si>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</si>
  <si>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</si>
  <si>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</si>
  <si>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</si>
  <si>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</si>
  <si>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</si>
  <si>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</si>
  <si>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</si>
  <si>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</si>
  <si>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</si>
  <si>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</si>
  <si>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</si>
  <si>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</si>
  <si>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</si>
  <si>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</si>
  <si>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</si>
  <si>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</si>
  <si>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</si>
  <si>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</si>
  <si>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</si>
  <si>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</si>
  <si>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</si>
  <si>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</si>
  <si>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</si>
  <si>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</si>
  <si>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</si>
  <si>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Delayed</t>
  </si>
  <si>
    <t>On Time</t>
  </si>
  <si>
    <t>Female</t>
  </si>
  <si>
    <t>Male</t>
  </si>
  <si>
    <t>Cardiology</t>
  </si>
  <si>
    <t>General Practice</t>
  </si>
  <si>
    <t>Neurology</t>
  </si>
  <si>
    <t>None</t>
  </si>
  <si>
    <t>Orthopedics</t>
  </si>
  <si>
    <t>Physiotherapy</t>
  </si>
  <si>
    <t>Gastroenterology</t>
  </si>
  <si>
    <t>Renal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</si>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</sst>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1" tint="0.249977111117893"/>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2" fontId="0" fillId="0" borderId="0" xfId="0" pivotButton="1" applyNumberFormat="1"/>
    <xf numFmtId="2" fontId="0" fillId="0" borderId="0" xfId="0" applyNumberFormat="1" applyAlignment="1">
      <alignment horizontal="left"/>
    </xf>
    <xf numFmtId="0" fontId="0" fillId="4" borderId="0" xfId="0" applyFill="1"/>
    <xf numFmtId="1" fontId="0" fillId="0" borderId="0" xfId="0" pivotButton="1" applyNumberFormat="1"/>
    <xf numFmtId="1" fontId="0" fillId="0" borderId="0" xfId="0" applyNumberFormat="1"/>
    <xf numFmtId="1" fontId="0" fillId="0" borderId="0" xfId="0" applyNumberFormat="1" applyAlignment="1">
      <alignment horizontal="left"/>
    </xf>
    <xf numFmtId="10" fontId="0" fillId="0" borderId="0" xfId="0" applyNumberFormat="1"/>
    <xf numFmtId="0" fontId="2" fillId="5" borderId="0" xfId="0" applyFont="1" applyFill="1"/>
    <xf numFmtId="0" fontId="0" fillId="5" borderId="0" xfId="0" applyFill="1"/>
    <xf numFmtId="1" fontId="0" fillId="3" borderId="0" xfId="0" applyNumberFormat="1" applyFill="1" applyAlignment="1">
      <alignment horizontal="center" vertical="center"/>
    </xf>
    <xf numFmtId="9" fontId="0" fillId="3" borderId="0" xfId="1" applyFont="1" applyFill="1" applyAlignment="1">
      <alignment horizontal="center" vertical="center"/>
    </xf>
    <xf numFmtId="0" fontId="0" fillId="3" borderId="0" xfId="0" applyFill="1" applyAlignment="1">
      <alignment horizontal="center" vertical="center"/>
    </xf>
    <xf numFmtId="9" fontId="0" fillId="0" borderId="0" xfId="0" applyNumberFormat="1"/>
    <xf numFmtId="0" fontId="0" fillId="0" borderId="0" xfId="0" applyNumberFormat="1"/>
  </cellXfs>
  <cellStyles count="2">
    <cellStyle name="Normal" xfId="0" builtinId="0"/>
    <cellStyle name="Percent" xfId="1" builtinId="5"/>
  </cellStyles>
  <dxfs count="682">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3" formatCode="0%"/>
    </dxf>
    <dxf>
      <numFmt numFmtId="0" formatCode="General"/>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3" formatCode="0%"/>
    </dxf>
    <dxf>
      <numFmt numFmtId="0" formatCode="General"/>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3" formatCode="0%"/>
    </dxf>
    <dxf>
      <numFmt numFmtId="0" formatCode="General"/>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3" formatCode="0%"/>
    </dxf>
    <dxf>
      <numFmt numFmtId="0" formatCode="General"/>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3" formatCode="0%"/>
    </dxf>
    <dxf>
      <numFmt numFmtId="0" formatCode="General"/>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3" formatCode="0%"/>
    </dxf>
    <dxf>
      <numFmt numFmtId="0" formatCode="General"/>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3" formatCode="0%"/>
    </dxf>
    <dxf>
      <numFmt numFmtId="0" formatCode="General"/>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3" formatCode="0%"/>
    </dxf>
    <dxf>
      <numFmt numFmtId="0" formatCode="General"/>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3" formatCode="0%"/>
    </dxf>
    <dxf>
      <numFmt numFmtId="0" formatCode="General"/>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3" formatCode="0%"/>
    </dxf>
    <dxf>
      <numFmt numFmtId="0" formatCode="General"/>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3" formatCode="0%"/>
    </dxf>
    <dxf>
      <numFmt numFmtId="0" formatCode="General"/>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3" formatCode="0%"/>
    </dxf>
    <dxf>
      <numFmt numFmtId="0" formatCode="General"/>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3" formatCode="0%"/>
    </dxf>
    <dxf>
      <numFmt numFmtId="0" formatCode="General"/>
    </dxf>
    <dxf>
      <numFmt numFmtId="1" formatCode="0"/>
    </dxf>
    <dxf>
      <numFmt numFmtId="1" formatCode="0"/>
    </dxf>
    <dxf>
      <numFmt numFmtId="1" formatCode="0"/>
    </dxf>
    <dxf>
      <numFmt numFmtId="13" formatCode="0%"/>
    </dxf>
    <dxf>
      <numFmt numFmtId="0" formatCode="General"/>
    </dxf>
    <dxf>
      <numFmt numFmtId="1" formatCode="0"/>
    </dxf>
    <dxf>
      <numFmt numFmtId="1" formatCode="0"/>
    </dxf>
    <dxf>
      <numFmt numFmtId="1" formatCode="0"/>
    </dxf>
    <dxf>
      <numFmt numFmtId="13" formatCode="0%"/>
    </dxf>
    <dxf>
      <numFmt numFmtId="0" formatCode="General"/>
    </dxf>
    <dxf>
      <numFmt numFmtId="1" formatCode="0"/>
    </dxf>
    <dxf>
      <numFmt numFmtId="1" formatCode="0"/>
    </dxf>
    <dxf>
      <numFmt numFmtId="1" formatCode="0"/>
    </dxf>
    <dxf>
      <numFmt numFmtId="13" formatCode="0%"/>
    </dxf>
    <dxf>
      <numFmt numFmtId="0" formatCode="General"/>
    </dxf>
    <dxf>
      <numFmt numFmtId="1" formatCode="0"/>
    </dxf>
    <dxf>
      <numFmt numFmtId="1" formatCode="0"/>
    </dxf>
    <dxf>
      <numFmt numFmtId="1" formatCode="0"/>
    </dxf>
    <dxf>
      <numFmt numFmtId="13" formatCode="0%"/>
    </dxf>
    <dxf>
      <numFmt numFmtId="0" formatCode="General"/>
    </dxf>
    <dxf>
      <numFmt numFmtId="1" formatCode="0"/>
    </dxf>
    <dxf>
      <numFmt numFmtId="1" formatCode="0"/>
    </dxf>
    <dxf>
      <numFmt numFmtId="1" formatCode="0"/>
    </dxf>
    <dxf>
      <numFmt numFmtId="13" formatCode="0%"/>
    </dxf>
    <dxf>
      <numFmt numFmtId="0" formatCode="General"/>
    </dxf>
    <dxf>
      <numFmt numFmtId="1" formatCode="0"/>
    </dxf>
    <dxf>
      <numFmt numFmtId="1" formatCode="0"/>
    </dxf>
    <dxf>
      <numFmt numFmtId="1" formatCode="0"/>
    </dxf>
    <dxf>
      <numFmt numFmtId="13" formatCode="0%"/>
    </dxf>
    <dxf>
      <numFmt numFmtId="0" formatCode="General"/>
    </dxf>
    <dxf>
      <numFmt numFmtId="1" formatCode="0"/>
    </dxf>
    <dxf>
      <numFmt numFmtId="1" formatCode="0"/>
    </dxf>
    <dxf>
      <numFmt numFmtId="1" formatCode="0"/>
    </dxf>
    <dxf>
      <numFmt numFmtId="13" formatCode="0%"/>
    </dxf>
    <dxf>
      <numFmt numFmtId="0" formatCode="General"/>
    </dxf>
    <dxf>
      <numFmt numFmtId="14" formatCode="0.00%"/>
    </dxf>
    <dxf>
      <numFmt numFmtId="0" formatCode="General"/>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3" formatCode="0%"/>
    </dxf>
    <dxf>
      <numFmt numFmtId="1" formatCode="0"/>
    </dxf>
    <dxf>
      <numFmt numFmtId="13" formatCode="0%"/>
    </dxf>
    <dxf>
      <numFmt numFmtId="1" formatCode="0"/>
    </dxf>
    <dxf>
      <numFmt numFmtId="1" formatCode="0"/>
    </dxf>
    <dxf>
      <numFmt numFmtId="1" formatCode="0"/>
    </dxf>
    <dxf>
      <numFmt numFmtId="1" formatCode="0"/>
    </dxf>
    <dxf>
      <numFmt numFmtId="14"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3" formatCode="0%"/>
    </dxf>
    <dxf>
      <numFmt numFmtId="14"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3"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font>
        <b/>
        <color theme="1"/>
      </font>
      <border>
        <bottom style="thin">
          <color theme="5"/>
        </bottom>
        <vertical/>
        <horizontal/>
      </border>
    </dxf>
    <dxf>
      <font>
        <sz val="10"/>
        <color theme="1"/>
      </font>
      <fill>
        <patternFill>
          <bgColor theme="0" tint="-4.9989318521683403E-2"/>
        </patternFill>
      </fill>
      <border diagonalUp="0" diagonalDown="0">
        <left/>
        <right/>
        <top/>
        <bottom/>
        <vertical/>
        <horizontal/>
      </border>
    </dxf>
    <dxf>
      <font>
        <sz val="8"/>
      </font>
      <fill>
        <patternFill>
          <bgColor theme="0" tint="-4.9989318521683403E-2"/>
        </patternFill>
      </fill>
    </dxf>
  </dxfs>
  <tableStyles count="2" defaultTableStyle="TableStyleMedium2" defaultPivotStyle="PivotStyleLight16">
    <tableStyle name="My Style" pivot="0" table="0" count="1" xr9:uid="{075169A4-8675-4B2E-83C3-481D1E45BD83}">
      <tableStyleElement type="wholeTable" dxfId="681"/>
    </tableStyle>
    <tableStyle name="My Style 2" pivot="0" table="0" count="10" xr9:uid="{0495CC89-1B6D-44D1-BF3B-8D6BF36A5812}">
      <tableStyleElement type="wholeTable" dxfId="680"/>
      <tableStyleElement type="headerRow" dxfId="67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b/>
            <i val="0"/>
            <color theme="0"/>
          </font>
          <fill>
            <patternFill patternType="solid">
              <fgColor theme="5" tint="0.59999389629810485"/>
              <bgColor theme="4"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 name="My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7.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[Excel_Hospital_Analysis.xlsx]Pivot!PivotTable7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dLbl>
          <c:idx val="0"/>
          <c:tx>
            <c:rich>
              <a:bodyPr/>
              <a:lstStyle/>
              <a:p>
                <a:fld id="{130C20D9-872D-4D2F-A56D-FBED49F1884F}"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dLbl>
          <c:idx val="0"/>
          <c:tx>
            <c:rich>
              <a:bodyPr/>
              <a:lstStyle/>
              <a:p>
                <a:fld id="{3B4AFFD2-4346-40D9-B26F-D86CF78039E0}"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dLbl>
          <c:idx val="0"/>
          <c:tx>
            <c:rich>
              <a:bodyPr rot="0" spcFirstLastPara="1" vertOverflow="ellipsis" vert="horz" wrap="square" lIns="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EA3C9C6-BB28-43BF-BF02-D918CBC0F4D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5"/>
        <c:spPr>
          <a:solidFill>
            <a:schemeClr val="accent1"/>
          </a:solidFill>
          <a:ln>
            <a:noFill/>
          </a:ln>
          <a:effectLst/>
        </c:spPr>
        <c:dLbl>
          <c:idx val="0"/>
          <c:tx>
            <c:rich>
              <a:bodyPr rot="0" spcFirstLastPara="1" vertOverflow="ellipsis" vert="horz" wrap="square" lIns="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F614076-525E-45C4-BEB5-784C20D28448}"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0.26138557804962659"/>
          <c:y val="0.16975308641975309"/>
          <c:w val="0.6845828342529503"/>
          <c:h val="0.66049382716049387"/>
        </c:manualLayout>
      </c:layout>
      <c:barChart>
        <c:barDir val="bar"/>
        <c:grouping val="clustered"/>
        <c:varyColors val="0"/>
        <c:ser>
          <c:idx val="0"/>
          <c:order val="0"/>
          <c:tx>
            <c:strRef>
              <c:f>Pivot!$C$43:$C$44</c:f>
              <c:strCache>
                <c:ptCount val="1"/>
                <c:pt idx="0">
                  <c:v>Count</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3-2ED9-49E0-B7E7-F57D6B42DE53}"/>
              </c:ext>
            </c:extLst>
          </c:dPt>
          <c:dPt>
            <c:idx val="1"/>
            <c:invertIfNegative val="0"/>
            <c:bubble3D val="0"/>
            <c:extLst>
              <c:ext xmlns:c16="http://schemas.microsoft.com/office/drawing/2014/chart" uri="{C3380CC4-5D6E-409C-BE32-E72D297353CC}">
                <c16:uniqueId val="{00000004-2ED9-49E0-B7E7-F57D6B42DE53}"/>
              </c:ext>
            </c:extLst>
          </c:dPt>
          <c:dLbls>
            <c:dLbl>
              <c:idx val="0"/>
              <c:tx>
                <c:rich>
                  <a:bodyPr/>
                  <a:lstStyle/>
                  <a:p>
                    <a:fld id="{0EA3C9C6-BB28-43BF-BF02-D918CBC0F4D3}"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2ED9-49E0-B7E7-F57D6B42DE53}"/>
                </c:ext>
              </c:extLst>
            </c:dLbl>
            <c:dLbl>
              <c:idx val="1"/>
              <c:tx>
                <c:rich>
                  <a:bodyPr/>
                  <a:lstStyle/>
                  <a:p>
                    <a:fld id="{9F614076-525E-45C4-BEB5-784C20D28448}"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ED9-49E0-B7E7-F57D6B42DE53}"/>
                </c:ext>
              </c:extLst>
            </c:dLbl>
            <c:spPr>
              <a:noFill/>
              <a:ln>
                <a:noFill/>
              </a:ln>
              <a:effectLst/>
            </c:spPr>
            <c:txPr>
              <a:bodyPr rot="0" spcFirstLastPara="1" vertOverflow="ellipsis" vert="horz" wrap="square" lIns="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Pivot!$C$43:$C$44</c:f>
              <c:strCache>
                <c:ptCount val="2"/>
                <c:pt idx="0">
                  <c:v>Admitted</c:v>
                </c:pt>
                <c:pt idx="1">
                  <c:v>Not Admitted</c:v>
                </c:pt>
              </c:strCache>
            </c:strRef>
          </c:cat>
          <c:val>
            <c:numRef>
              <c:f>Pivot!$C$43:$C$44</c:f>
              <c:numCache>
                <c:formatCode>0</c:formatCode>
                <c:ptCount val="2"/>
                <c:pt idx="0">
                  <c:v>253</c:v>
                </c:pt>
                <c:pt idx="1">
                  <c:v>253</c:v>
                </c:pt>
              </c:numCache>
            </c:numRef>
          </c:val>
          <c:extLst>
            <c:ext xmlns:c15="http://schemas.microsoft.com/office/drawing/2012/chart" uri="{02D57815-91ED-43cb-92C2-25804820EDAC}">
              <c15:datalabelsRange>
                <c15:f>Pivot!$C$43:$C$44</c15:f>
                <c15:dlblRangeCache>
                  <c:ptCount val="2"/>
                  <c:pt idx="0">
                    <c:v>50%</c:v>
                  </c:pt>
                  <c:pt idx="1">
                    <c:v>50%</c:v>
                  </c:pt>
                </c15:dlblRangeCache>
              </c15:datalabelsRange>
            </c:ext>
            <c:ext xmlns:c16="http://schemas.microsoft.com/office/drawing/2014/chart" uri="{C3380CC4-5D6E-409C-BE32-E72D297353CC}">
              <c16:uniqueId val="{00000000-2ED9-49E0-B7E7-F57D6B42DE53}"/>
            </c:ext>
          </c:extLst>
        </c:ser>
        <c:dLbls>
          <c:showLegendKey val="0"/>
          <c:showVal val="0"/>
          <c:showCatName val="0"/>
          <c:showSerName val="0"/>
          <c:showPercent val="0"/>
          <c:showBubbleSize val="0"/>
        </c:dLbls>
        <c:gapWidth val="500"/>
        <c:axId val="1453640559"/>
        <c:axId val="1396060607"/>
      </c:barChart>
      <c:barChart>
        <c:barDir val="bar"/>
        <c:grouping val="clustered"/>
        <c:varyColors val="0"/>
        <c:ser>
          <c:idx val="1"/>
          <c:order val="1"/>
          <c:tx>
            <c:strRef>
              <c:f>Pivot!$C$43:$C$44</c:f>
              <c:strCache>
                <c:ptCount val="1"/>
                <c:pt idx="0">
                  <c:v>%</c:v>
                </c:pt>
              </c:strCache>
            </c:strRef>
          </c:tx>
          <c:spPr>
            <a:solidFill>
              <a:schemeClr val="accent2"/>
            </a:solidFill>
            <a:ln>
              <a:noFill/>
            </a:ln>
            <a:effectLst/>
          </c:spPr>
          <c:invertIfNegative val="0"/>
          <c:cat>
            <c:strRef>
              <c:f>Pivot!$C$43:$C$44</c:f>
              <c:strCache>
                <c:ptCount val="2"/>
                <c:pt idx="0">
                  <c:v>Admitted</c:v>
                </c:pt>
                <c:pt idx="1">
                  <c:v>Not Admitted</c:v>
                </c:pt>
              </c:strCache>
            </c:strRef>
          </c:cat>
          <c:val>
            <c:numRef>
              <c:f>Pivot!$C$43:$C$44</c:f>
              <c:numCache>
                <c:formatCode>0%</c:formatCode>
                <c:ptCount val="2"/>
                <c:pt idx="0">
                  <c:v>0.5</c:v>
                </c:pt>
                <c:pt idx="1">
                  <c:v>0.5</c:v>
                </c:pt>
              </c:numCache>
            </c:numRef>
          </c:val>
          <c:extLst>
            <c:ext xmlns:c16="http://schemas.microsoft.com/office/drawing/2014/chart" uri="{C3380CC4-5D6E-409C-BE32-E72D297353CC}">
              <c16:uniqueId val="{00000005-2ED9-49E0-B7E7-F57D6B42DE53}"/>
            </c:ext>
          </c:extLst>
        </c:ser>
        <c:dLbls>
          <c:showLegendKey val="0"/>
          <c:showVal val="0"/>
          <c:showCatName val="0"/>
          <c:showSerName val="0"/>
          <c:showPercent val="0"/>
          <c:showBubbleSize val="0"/>
        </c:dLbls>
        <c:gapWidth val="500"/>
        <c:axId val="1443671231"/>
        <c:axId val="1443676511"/>
      </c:barChart>
      <c:catAx>
        <c:axId val="1453640559"/>
        <c:scaling>
          <c:orientation val="minMax"/>
        </c:scaling>
        <c:delete val="1"/>
        <c:axPos val="l"/>
        <c:numFmt formatCode="General" sourceLinked="1"/>
        <c:majorTickMark val="none"/>
        <c:minorTickMark val="none"/>
        <c:tickLblPos val="nextTo"/>
        <c:crossAx val="1396060607"/>
        <c:crosses val="autoZero"/>
        <c:auto val="1"/>
        <c:lblAlgn val="ctr"/>
        <c:lblOffset val="100"/>
        <c:noMultiLvlLbl val="0"/>
      </c:catAx>
      <c:valAx>
        <c:axId val="1396060607"/>
        <c:scaling>
          <c:orientation val="minMax"/>
        </c:scaling>
        <c:delete val="1"/>
        <c:axPos val="b"/>
        <c:numFmt formatCode="0" sourceLinked="1"/>
        <c:majorTickMark val="none"/>
        <c:minorTickMark val="none"/>
        <c:tickLblPos val="nextTo"/>
        <c:crossAx val="1453640559"/>
        <c:crosses val="autoZero"/>
        <c:crossBetween val="between"/>
      </c:valAx>
      <c:valAx>
        <c:axId val="1443676511"/>
        <c:scaling>
          <c:orientation val="minMax"/>
        </c:scaling>
        <c:delete val="1"/>
        <c:axPos val="t"/>
        <c:numFmt formatCode="0%" sourceLinked="1"/>
        <c:majorTickMark val="out"/>
        <c:minorTickMark val="none"/>
        <c:tickLblPos val="nextTo"/>
        <c:crossAx val="1443671231"/>
        <c:crosses val="max"/>
        <c:crossBetween val="between"/>
      </c:valAx>
      <c:catAx>
        <c:axId val="1443671231"/>
        <c:scaling>
          <c:orientation val="minMax"/>
        </c:scaling>
        <c:delete val="1"/>
        <c:axPos val="l"/>
        <c:numFmt formatCode="General" sourceLinked="1"/>
        <c:majorTickMark val="out"/>
        <c:minorTickMark val="none"/>
        <c:tickLblPos val="nextTo"/>
        <c:crossAx val="144367651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[Excel_Hospital_Analysis.xlsx]Pivot!PivotTable5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998895501386255E-2"/>
          <c:y val="0.14938268700637949"/>
          <c:w val="0.86600220899722746"/>
          <c:h val="0.70123462598724096"/>
        </c:manualLayout>
      </c:layout>
      <c:areaChart>
        <c:grouping val="standard"/>
        <c:varyColors val="0"/>
        <c:ser>
          <c:idx val="0"/>
          <c:order val="0"/>
          <c:tx>
            <c:strRef>
              <c:f>Pivot!$E$4</c:f>
              <c:strCache>
                <c:ptCount val="1"/>
                <c:pt idx="0">
                  <c:v>Total</c:v>
                </c:pt>
              </c:strCache>
            </c:strRef>
          </c:tx>
          <c:spPr>
            <a:solidFill>
              <a:schemeClr val="accent1"/>
            </a:solidFill>
            <a:ln w="25400">
              <a:noFill/>
            </a:ln>
            <a:effectLst/>
          </c:spPr>
          <c:cat>
            <c:strRef>
              <c:f>Pivot!$D$5:$D$36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Pivot!$E$5:$E$36</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3-A2A4-4975-A8A3-BF99FDE35887}"/>
            </c:ext>
          </c:extLst>
        </c:ser>
        <c:dLbls>
          <c:showLegendKey val="0"/>
          <c:showVal val="0"/>
          <c:showCatName val="0"/>
          <c:showSerName val="0"/>
          <c:showPercent val="0"/>
          <c:showBubbleSize val="0"/>
        </c:dLbls>
        <c:axId val="1717797776"/>
        <c:axId val="1717794896"/>
      </c:areaChart>
      <c:catAx>
        <c:axId val="1717797776"/>
        <c:scaling>
          <c:orientation val="minMax"/>
        </c:scaling>
        <c:delete val="1"/>
        <c:axPos val="b"/>
        <c:numFmt formatCode="General" sourceLinked="1"/>
        <c:majorTickMark val="out"/>
        <c:minorTickMark val="none"/>
        <c:tickLblPos val="nextTo"/>
        <c:crossAx val="1717794896"/>
        <c:crosses val="autoZero"/>
        <c:auto val="1"/>
        <c:lblAlgn val="ctr"/>
        <c:lblOffset val="100"/>
        <c:noMultiLvlLbl val="0"/>
      </c:catAx>
      <c:valAx>
        <c:axId val="1717794896"/>
        <c:scaling>
          <c:orientation val="minMax"/>
        </c:scaling>
        <c:delete val="1"/>
        <c:axPos val="l"/>
        <c:numFmt formatCode="General" sourceLinked="1"/>
        <c:majorTickMark val="none"/>
        <c:minorTickMark val="none"/>
        <c:tickLblPos val="nextTo"/>
        <c:crossAx val="17177977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[Excel_Hospital_Analysis.xlsx]Pivot!PivotTable6</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Pivot!$H$4</c:f>
              <c:strCache>
                <c:ptCount val="1"/>
                <c:pt idx="0">
                  <c:v>Total</c:v>
                </c:pt>
              </c:strCache>
            </c:strRef>
          </c:tx>
          <c:spPr>
            <a:solidFill>
              <a:schemeClr val="accent1"/>
            </a:solidFill>
            <a:ln>
              <a:noFill/>
            </a:ln>
            <a:effectLst/>
          </c:spPr>
          <c:cat>
            <c:strRef>
              <c:f>Pivot!$G$5:$G$36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Pivot!$H$5:$H$36</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0-CF87-4B63-9030-37D5B0BB0064}"/>
            </c:ext>
          </c:extLst>
        </c:ser>
        <c:dLbls>
          <c:showLegendKey val="0"/>
          <c:showVal val="0"/>
          <c:showCatName val="0"/>
          <c:showSerName val="0"/>
          <c:showPercent val="0"/>
          <c:showBubbleSize val="0"/>
        </c:dLbls>
        <c:axId val="2108814720"/>
        <c:axId val="2108820000"/>
      </c:areaChart>
      <c:catAx>
        <c:axId val="2108814720"/>
        <c:scaling>
          <c:orientation val="minMax"/>
        </c:scaling>
        <c:delete val="1"/>
        <c:axPos val="b"/>
        <c:numFmt formatCode="General" sourceLinked="1"/>
        <c:majorTickMark val="out"/>
        <c:minorTickMark val="none"/>
        <c:tickLblPos val="nextTo"/>
        <c:crossAx val="2108820000"/>
        <c:crosses val="autoZero"/>
        <c:auto val="1"/>
        <c:lblAlgn val="ctr"/>
        <c:lblOffset val="100"/>
        <c:noMultiLvlLbl val="0"/>
      </c:catAx>
      <c:valAx>
        <c:axId val="2108820000"/>
        <c:scaling>
          <c:orientation val="minMax"/>
        </c:scaling>
        <c:delete val="1"/>
        <c:axPos val="l"/>
        <c:numFmt formatCode="0.00" sourceLinked="1"/>
        <c:majorTickMark val="none"/>
        <c:minorTickMark val="none"/>
        <c:tickLblPos val="nextTo"/>
        <c:crossAx val="21088147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[Excel_Hospital_Analysis.xlsx]Pivot!PivotTable4</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Pivot!$K$4</c:f>
              <c:strCache>
                <c:ptCount val="1"/>
                <c:pt idx="0">
                  <c:v>Total</c:v>
                </c:pt>
              </c:strCache>
            </c:strRef>
          </c:tx>
          <c:spPr>
            <a:solidFill>
              <a:schemeClr val="accent1"/>
            </a:solidFill>
            <a:ln>
              <a:noFill/>
            </a:ln>
            <a:effectLst/>
          </c:spPr>
          <c:cat>
            <c:strRef>
              <c:f>Pivot!$J$5:$J$36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Pivot!$K$5:$K$36</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0-8C14-4094-9A20-B2E2FD24BE36}"/>
            </c:ext>
          </c:extLst>
        </c:ser>
        <c:dLbls>
          <c:showLegendKey val="0"/>
          <c:showVal val="0"/>
          <c:showCatName val="0"/>
          <c:showSerName val="0"/>
          <c:showPercent val="0"/>
          <c:showBubbleSize val="0"/>
        </c:dLbls>
        <c:axId val="1576509887"/>
        <c:axId val="1576510367"/>
      </c:areaChart>
      <c:catAx>
        <c:axId val="1576509887"/>
        <c:scaling>
          <c:orientation val="minMax"/>
        </c:scaling>
        <c:delete val="1"/>
        <c:axPos val="b"/>
        <c:numFmt formatCode="General" sourceLinked="1"/>
        <c:majorTickMark val="out"/>
        <c:minorTickMark val="none"/>
        <c:tickLblPos val="nextTo"/>
        <c:crossAx val="1576510367"/>
        <c:crosses val="autoZero"/>
        <c:auto val="1"/>
        <c:lblAlgn val="ctr"/>
        <c:lblOffset val="100"/>
        <c:noMultiLvlLbl val="0"/>
      </c:catAx>
      <c:valAx>
        <c:axId val="1576510367"/>
        <c:scaling>
          <c:orientation val="minMax"/>
        </c:scaling>
        <c:delete val="1"/>
        <c:axPos val="l"/>
        <c:numFmt formatCode="0.00" sourceLinked="1"/>
        <c:majorTickMark val="none"/>
        <c:minorTickMark val="none"/>
        <c:tickLblPos val="nextTo"/>
        <c:crossAx val="15765098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[Excel_Hospital_Analysis.xlsx]Pivot!PivotTable8</c:name>
    <c:fmtId val="18"/>
  </c:pivotSource>
  <c:chart>
    <c:title>
      <c:tx>
        <c:rich>
          <a:bodyPr rot="0" spcFirstLastPara="1" vertOverflow="ellipsis" vert="horz" wrap="square" anchor="b" anchorCtr="1"/>
          <a:lstStyle/>
          <a:p>
            <a:pPr>
              <a:defRPr sz="1400" b="0" i="0" u="none" strike="noStrike" kern="1200" spc="0" baseline="0">
                <a:solidFill>
                  <a:schemeClr val="tx1">
                    <a:lumMod val="65000"/>
                    <a:lumOff val="35000"/>
                  </a:schemeClr>
                </a:solidFill>
                <a:latin typeface="+mn-lt"/>
                <a:ea typeface="+mn-ea"/>
                <a:cs typeface="+mn-cs"/>
              </a:defRPr>
            </a:pPr>
            <a:r>
              <a:rPr lang="en-US"/>
              <a:t>No. of Patients by Age Group</a:t>
            </a:r>
          </a:p>
        </c:rich>
      </c:tx>
      <c:layout>
        <c:manualLayout>
          <c:xMode val="edge"/>
          <c:yMode val="edge"/>
          <c:x val="0.257600071838605"/>
          <c:y val="0.87273750308430598"/>
        </c:manualLayout>
      </c:layout>
      <c:overlay val="0"/>
      <c:spPr>
        <a:noFill/>
        <a:ln>
          <a:noFill/>
        </a:ln>
        <a:effectLst/>
      </c:spPr>
      <c:txPr>
        <a:bodyPr rot="0" spcFirstLastPara="1" vertOverflow="ellipsis" vert="horz" wrap="square" anchor="b"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989674094938224E-2"/>
          <c:y val="0.10010123441416639"/>
          <c:w val="0.95002065181012352"/>
          <c:h val="0.64687360917981673"/>
        </c:manualLayout>
      </c:layout>
      <c:barChart>
        <c:barDir val="col"/>
        <c:grouping val="clustered"/>
        <c:varyColors val="0"/>
        <c:ser>
          <c:idx val="0"/>
          <c:order val="0"/>
          <c:tx>
            <c:strRef>
              <c:f>Pivot!$K$41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Pivot!$J$42:$J$50</c:f>
              <c:strCache>
                <c:ptCount val="8"/>
                <c:pt idx="0">
                  <c:v>0-9</c:v>
                </c:pt>
                <c:pt idx="1">
                  <c:v>10-19</c:v>
                </c:pt>
                <c:pt idx="2">
                  <c:v>20-29</c:v>
                </c:pt>
                <c:pt idx="3">
                  <c:v>30-39</c:v>
                </c:pt>
                <c:pt idx="4">
                  <c:v>40-49</c:v>
                </c:pt>
                <c:pt idx="5">
                  <c:v>50-59</c:v>
                </c:pt>
                <c:pt idx="6">
                  <c:v>60-69</c:v>
                </c:pt>
                <c:pt idx="7">
                  <c:v>70-79</c:v>
                </c:pt>
              </c:strCache>
            </c:strRef>
          </c:cat>
          <c:val>
            <c:numRef>
              <c:f>Pivot!$K$42:$K$50</c:f>
              <c:numCache>
                <c:formatCode>0</c:formatCode>
                <c:ptCount val="8"/>
                <c:pt idx="0">
                  <c:v>64</c:v>
                </c:pt>
                <c:pt idx="1">
                  <c:v>66</c:v>
                </c:pt>
                <c:pt idx="2">
                  <c:v>65</c:v>
                </c:pt>
                <c:pt idx="3">
                  <c:v>73</c:v>
                </c:pt>
                <c:pt idx="4">
                  <c:v>45</c:v>
                </c:pt>
                <c:pt idx="5">
                  <c:v>72</c:v>
                </c:pt>
                <c:pt idx="6">
                  <c:v>74</c:v>
                </c:pt>
                <c:pt idx="7">
                  <c:v>47</c:v>
                </c:pt>
              </c:numCache>
            </c:numRef>
          </c:val>
          <c:extLst>
            <c:ext xmlns:c16="http://schemas.microsoft.com/office/drawing/2014/chart" uri="{C3380CC4-5D6E-409C-BE32-E72D297353CC}">
              <c16:uniqueId val="{00000000-1A48-4538-AC86-B0631B5FA3E8}"/>
            </c:ext>
          </c:extLst>
        </c:ser>
        <c:dLbls>
          <c:dLblPos val="outEnd"/>
          <c:showLegendKey val="0"/>
          <c:showVal val="1"/>
          <c:showCatName val="0"/>
          <c:showSerName val="0"/>
          <c:showPercent val="0"/>
          <c:showBubbleSize val="0"/>
        </c:dLbls>
        <c:gapWidth val="219"/>
        <c:overlap val="-27"/>
        <c:axId val="1399661871"/>
        <c:axId val="1399662351"/>
      </c:barChart>
      <c:catAx>
        <c:axId val="139966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99662351"/>
        <c:crosses val="autoZero"/>
        <c:auto val="1"/>
        <c:lblAlgn val="ctr"/>
        <c:lblOffset val="100"/>
        <c:noMultiLvlLbl val="0"/>
      </c:catAx>
      <c:valAx>
        <c:axId val="1399662351"/>
        <c:scaling>
          <c:orientation val="minMax"/>
        </c:scaling>
        <c:delete val="1"/>
        <c:axPos val="l"/>
        <c:numFmt formatCode="0" sourceLinked="1"/>
        <c:majorTickMark val="none"/>
        <c:minorTickMark val="none"/>
        <c:tickLblPos val="nextTo"/>
        <c:crossAx val="139966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[Excel_Hospital_Analysis.xlsx]Pivot!PivotTable9</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31899852822343122"/>
          <c:y val="0.16131782824645616"/>
          <c:w val="0.36200294355313745"/>
          <c:h val="0.58757969931737475"/>
        </c:manualLayout>
      </c:layout>
      <c:pieChart>
        <c:varyColors val="1"/>
        <c:ser>
          <c:idx val="0"/>
          <c:order val="0"/>
          <c:tx>
            <c:strRef>
              <c:f>Pivot!$B$60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B3-45DD-9A34-D7C235929B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B3-45DD-9A34-D7C235929BB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Pivot!$A$61:$A$63</c:f>
              <c:strCache>
                <c:ptCount val="2"/>
                <c:pt idx="0">
                  <c:v>Delayed</c:v>
                </c:pt>
                <c:pt idx="1">
                  <c:v>On Time</c:v>
                </c:pt>
              </c:strCache>
            </c:strRef>
          </c:cat>
          <c:val>
            <c:numRef>
              <c:f>Pivot!$B$61:$B$63</c:f>
              <c:numCache>
                <c:formatCode>0%</c:formatCode>
                <c:ptCount val="2"/>
                <c:pt idx="0">
                  <c:v>0.61660079051383399</c:v>
                </c:pt>
                <c:pt idx="1">
                  <c:v>0.38339920948616601</c:v>
                </c:pt>
              </c:numCache>
            </c:numRef>
          </c:val>
          <c:extLst>
            <c:ext xmlns:c16="http://schemas.microsoft.com/office/drawing/2014/chart" uri="{C3380CC4-5D6E-409C-BE32-E72D297353CC}">
              <c16:uniqueId val="{00000004-53B3-45DD-9A34-D7C235929BBE}"/>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[Excel_Hospital_Analysis.xlsx]Pivot!PivotTable10</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Pivot!$E$60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2AF-4F13-9626-96A49314DD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2AF-4F13-9626-96A49314DD8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Pivot!$D$61:$D$63</c:f>
              <c:strCache>
                <c:ptCount val="2"/>
                <c:pt idx="0">
                  <c:v>Female</c:v>
                </c:pt>
                <c:pt idx="1">
                  <c:v>Male</c:v>
                </c:pt>
              </c:strCache>
            </c:strRef>
          </c:cat>
          <c:val>
            <c:numRef>
              <c:f>Pivot!$E$61:$E$63</c:f>
              <c:numCache>
                <c:formatCode>0%</c:formatCode>
                <c:ptCount val="2"/>
                <c:pt idx="0">
                  <c:v>0.45652173913043476</c:v>
                </c:pt>
                <c:pt idx="1">
                  <c:v>0.54347826086956519</c:v>
                </c:pt>
              </c:numCache>
            </c:numRef>
          </c:val>
          <c:extLst>
            <c:ext xmlns:c16="http://schemas.microsoft.com/office/drawing/2014/chart" uri="{C3380CC4-5D6E-409C-BE32-E72D297353CC}">
              <c16:uniqueId val="{00000004-02AF-4F13-9626-96A49314DD8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[Excel_Hospital_Analysis.xlsx]Pivot!PivotTable11</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95513345566274"/>
          <c:y val="4.9917512828657869E-2"/>
          <c:w val="0.80864966123843196"/>
          <c:h val="0.81848177153215318"/>
        </c:manualLayout>
      </c:layout>
      <c:barChart>
        <c:barDir val="bar"/>
        <c:grouping val="clustered"/>
        <c:varyColors val="0"/>
        <c:ser>
          <c:idx val="0"/>
          <c:order val="0"/>
          <c:tx>
            <c:strRef>
              <c:f>Pivot!$L$63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Pivot!$K$64:$K$72</c:f>
              <c:strCache>
                <c:ptCount val="8"/>
                <c:pt idx="0">
                  <c:v>Renal</c:v>
                </c:pt>
                <c:pt idx="1">
                  <c:v>Neurology</c:v>
                </c:pt>
                <c:pt idx="2">
                  <c:v>Gastroenterology</c:v>
                </c:pt>
                <c:pt idx="3">
                  <c:v>Physiotherapy</c:v>
                </c:pt>
                <c:pt idx="4">
                  <c:v>Cardiology</c:v>
                </c:pt>
                <c:pt idx="5">
                  <c:v>Orthopedics</c:v>
                </c:pt>
                <c:pt idx="6">
                  <c:v>General Practice</c:v>
                </c:pt>
                <c:pt idx="7">
                  <c:v>None</c:v>
                </c:pt>
              </c:strCache>
            </c:strRef>
          </c:cat>
          <c:val>
            <c:numRef>
              <c:f>Pivot!$L$64:$L$72</c:f>
              <c:numCache>
                <c:formatCode>General</c:formatCode>
                <c:ptCount val="8"/>
                <c:pt idx="0">
                  <c:v>3</c:v>
                </c:pt>
                <c:pt idx="1">
                  <c:v>5</c:v>
                </c:pt>
                <c:pt idx="2">
                  <c:v>6</c:v>
                </c:pt>
                <c:pt idx="3">
                  <c:v>14</c:v>
                </c:pt>
                <c:pt idx="4">
                  <c:v>15</c:v>
                </c:pt>
                <c:pt idx="5">
                  <c:v>59</c:v>
                </c:pt>
                <c:pt idx="6">
                  <c:v>93</c:v>
                </c:pt>
                <c:pt idx="7">
                  <c:v>311</c:v>
                </c:pt>
              </c:numCache>
            </c:numRef>
          </c:val>
          <c:extLst>
            <c:ext xmlns:c16="http://schemas.microsoft.com/office/drawing/2014/chart" uri="{C3380CC4-5D6E-409C-BE32-E72D297353CC}">
              <c16:uniqueId val="{00000000-DFBF-4FF6-AEA8-1BA465A9547B}"/>
            </c:ext>
          </c:extLst>
        </c:ser>
        <c:dLbls>
          <c:dLblPos val="outEnd"/>
          <c:showLegendKey val="0"/>
          <c:showVal val="1"/>
          <c:showCatName val="0"/>
          <c:showSerName val="0"/>
          <c:showPercent val="0"/>
          <c:showBubbleSize val="0"/>
        </c:dLbls>
        <c:gapWidth val="182"/>
        <c:axId val="1634805167"/>
        <c:axId val="1634801327"/>
      </c:barChart>
      <c:catAx>
        <c:axId val="1634805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801327"/>
        <c:crosses val="autoZero"/>
        <c:auto val="1"/>
        <c:lblAlgn val="ctr"/>
        <c:lblOffset val="100"/>
        <c:noMultiLvlLbl val="0"/>
      </c:catAx>
      <c:valAx>
        <c:axId val="1634801327"/>
        <c:scaling>
          <c:orientation val="minMax"/>
        </c:scaling>
        <c:delete val="1"/>
        <c:axPos val="b"/>
        <c:numFmt formatCode="General" sourceLinked="1"/>
        <c:majorTickMark val="none"/>
        <c:minorTickMark val="none"/>
        <c:tickLblPos val="nextTo"/>
        <c:crossAx val="163480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[Excel_Hospital_Analysis.xlsx]Pivot!PivotTable5</c:name>
    <c:fmtId val="1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Patient Visit Count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Pivot!$D$5:$D$36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Pivot!$E$5:$E$36</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3-EEC5-46B1-86AA-4CF6011F818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18701616"/>
        <c:axId val="1818700176"/>
      </c:areaChart>
      <c:catAx>
        <c:axId val="181870161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18700176"/>
        <c:crosses val="autoZero"/>
        <c:auto val="1"/>
        <c:lblAlgn val="ctr"/>
        <c:lblOffset val="100"/>
        <c:noMultiLvlLbl val="0"/>
      </c:catAx>
      <c:valAx>
        <c:axId val="1818700176"/>
        <c:scaling>
          <c:orientation val="minMax"/>
        </c:scaling>
        <c:delete val="1"/>
        <c:axPos val="l"/>
        <c:numFmt formatCode="General" sourceLinked="1"/>
        <c:majorTickMark val="out"/>
        <c:minorTickMark val="none"/>
        <c:tickLblPos val="nextTo"/>
        <c:crossAx val="18187016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[Excel_Hospital_Analysis.xlsx]Pivot!PivotTable6</c:name>
    <c:fmtId val="2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Average</a:t>
            </a:r>
            <a:r>
              <a:rPr lang="en-IN" baseline="0"/>
              <a:t> Waittime</a:t>
            </a:r>
            <a:endParaRPr lang="en-IN"/>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31692913385827E-2"/>
          <c:y val="4.6296296296296294E-2"/>
          <c:w val="0.87955096237970254"/>
          <c:h val="0.77870662000583257"/>
        </c:manualLayout>
      </c:layout>
      <c:areaChart>
        <c:grouping val="standard"/>
        <c:varyColors val="0"/>
        <c:ser>
          <c:idx val="0"/>
          <c:order val="0"/>
          <c:tx>
            <c:strRef>
              <c:f>Pivot!$H$4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Pivot!$G$5:$G$36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Pivot!$H$5:$H$36</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0-D5F8-422C-9240-54C7DD0F4A7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108814720"/>
        <c:axId val="2108820000"/>
      </c:areaChart>
      <c:catAx>
        <c:axId val="210881472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08820000"/>
        <c:crosses val="autoZero"/>
        <c:auto val="1"/>
        <c:lblAlgn val="ctr"/>
        <c:lblOffset val="100"/>
        <c:noMultiLvlLbl val="0"/>
      </c:catAx>
      <c:valAx>
        <c:axId val="2108820000"/>
        <c:scaling>
          <c:orientation val="minMax"/>
        </c:scaling>
        <c:delete val="1"/>
        <c:axPos val="l"/>
        <c:numFmt formatCode="0.00" sourceLinked="1"/>
        <c:majorTickMark val="out"/>
        <c:minorTickMark val="none"/>
        <c:tickLblPos val="nextTo"/>
        <c:crossAx val="21088147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[Excel_Hospital_Analysis.xlsx]Pivot!PivotTable4</c:name>
    <c:fmtId val="3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Patient statisfaction score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Pivot!$J$5:$J$36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Pivot!$K$5:$K$36</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0-1BB4-4FEB-9C75-FD1C80E7F95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76509887"/>
        <c:axId val="1576510367"/>
      </c:areaChart>
      <c:catAx>
        <c:axId val="157650988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76510367"/>
        <c:crosses val="autoZero"/>
        <c:auto val="1"/>
        <c:lblAlgn val="ctr"/>
        <c:lblOffset val="100"/>
        <c:noMultiLvlLbl val="0"/>
      </c:catAx>
      <c:valAx>
        <c:axId val="1576510367"/>
        <c:scaling>
          <c:orientation val="minMax"/>
        </c:scaling>
        <c:delete val="1"/>
        <c:axPos val="l"/>
        <c:numFmt formatCode="0.00" sourceLinked="1"/>
        <c:majorTickMark val="out"/>
        <c:minorTickMark val="none"/>
        <c:tickLblPos val="nextTo"/>
        <c:crossAx val="15765098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Chart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Chart6"/><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Chart5"/><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11.svg"/><Relationship Id="rId5" Type="http://schemas.openxmlformats.org/officeDocument/2006/relationships/image" Target="../media/image10.png"/><Relationship Id="rId4" Type="http://schemas.openxmlformats.org/officeDocument/2006/relationships/hyperlink" Target="#Dahs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xdr:col>
      <xdr:colOff>220980</xdr:colOff>
      <xdr:row>51</xdr:row>
      <xdr:rowOff>91440</xdr:rowOff>
    </xdr:from>
    <xdr:to>
      <xdr:col>5</xdr:col>
      <xdr:colOff>60960</xdr:colOff>
      <xdr:row>54</xdr:row>
      <xdr:rowOff>91440</xdr:rowOff>
    </xdr:to>
    <xdr:graphicFrame macro="">
      <xdr:nvGraphicFramePr>
        <xdr:cNvPr id="4" name="Chart 3">
          <a:extLst>
            <a:ext uri="{FF2B5EF4-FFF2-40B4-BE49-F238E27FC236}">
              <a16:creationId xmlns:a16="http://schemas.microsoft.com/office/drawing/2014/main" id="{8CEF360E-458D-CE1D-C89F-EAF16AC839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190500</xdr:colOff>
      <xdr:row>0</xdr:row>
      <xdr:rowOff>91440</xdr:rowOff>
    </xdr:from>
    <xdr:to>
      <xdr:col>8</xdr:col>
      <xdr:colOff>167640</xdr:colOff>
      <xdr:row>3</xdr:row>
      <xdr:rowOff>175260</xdr:rowOff>
    </xdr:to>
    <xdr:sp macro="" textlink="">
      <xdr:nvSpPr>
        <xdr:cNvPr id="2" name="Rectangle: Rounded Corners 1">
          <a:extLst>
            <a:ext uri="{FF2B5EF4-FFF2-40B4-BE49-F238E27FC236}">
              <a16:creationId xmlns:a16="http://schemas.microsoft.com/office/drawing/2014/main" id="{F05C3201-673F-9E56-3E24-33E66B9A5B55}"/>
            </a:ext>
          </a:extLst>
        </xdr:cNvPr>
        <xdr:cNvSpPr/>
      </xdr:nvSpPr>
      <xdr:spPr>
        <a:xfrm>
          <a:off x="190500" y="91440"/>
          <a:ext cx="4853940" cy="632460"/>
        </a:xfrm>
        <a:prstGeom prst="roundRect">
          <a:avLst/>
        </a:prstGeom>
        <a:solidFill>
          <a:schemeClr val="bg1">
            <a:lumMod val="95000"/>
          </a:schemeClr>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251460</xdr:colOff>
      <xdr:row>0</xdr:row>
      <xdr:rowOff>91440</xdr:rowOff>
    </xdr:from>
    <xdr:to>
      <xdr:col>10</xdr:col>
      <xdr:colOff>556260</xdr:colOff>
      <xdr:row>3</xdr:row>
      <xdr:rowOff>144780</xdr:rowOff>
    </xdr:to>
    <xdr:sp macro="" textlink="">
      <xdr:nvSpPr>
        <xdr:cNvPr id="3" name="Rectangle: Rounded Corners 2">
          <a:extLst>
            <a:ext uri="{FF2B5EF4-FFF2-40B4-BE49-F238E27FC236}">
              <a16:creationId xmlns:a16="http://schemas.microsoft.com/office/drawing/2014/main" id="{B1EC241C-C4A6-30D5-504A-0BF4EF42276A}"/>
            </a:ext>
          </a:extLst>
        </xdr:cNvPr>
        <xdr:cNvSpPr/>
      </xdr:nvSpPr>
      <xdr:spPr>
        <a:xfrm>
          <a:off x="5128260" y="91440"/>
          <a:ext cx="1524000" cy="601980"/>
        </a:xfrm>
        <a:prstGeom prst="roundRect">
          <a:avLst/>
        </a:prstGeom>
        <a:solidFill>
          <a:schemeClr val="bg1">
            <a:lumMod val="95000"/>
          </a:schemeClr>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45720</xdr:colOff>
      <xdr:row>0</xdr:row>
      <xdr:rowOff>91440</xdr:rowOff>
    </xdr:from>
    <xdr:to>
      <xdr:col>20</xdr:col>
      <xdr:colOff>552102</xdr:colOff>
      <xdr:row>11</xdr:row>
      <xdr:rowOff>41564</xdr:rowOff>
    </xdr:to>
    <xdr:grpSp>
      <xdr:nvGrpSpPr>
        <xdr:cNvPr id="14" name="Group 13">
          <a:extLst>
            <a:ext uri="{FF2B5EF4-FFF2-40B4-BE49-F238E27FC236}">
              <a16:creationId xmlns:a16="http://schemas.microsoft.com/office/drawing/2014/main" id="{AD4C1C0F-8C5F-2483-B214-9AF1F8512DFD}"/>
            </a:ext>
          </a:extLst>
        </xdr:cNvPr>
        <xdr:cNvGrpSpPr/>
      </xdr:nvGrpSpPr>
      <xdr:grpSpPr>
        <a:xfrm>
          <a:off x="6751320" y="91440"/>
          <a:ext cx="5992782" cy="1931324"/>
          <a:chOff x="6751320" y="91440"/>
          <a:chExt cx="5992782" cy="1536469"/>
        </a:xfrm>
        <a:solidFill>
          <a:schemeClr val="bg1">
            <a:lumMod val="95000"/>
          </a:schemeClr>
        </a:solidFill>
      </xdr:grpSpPr>
      <xdr:sp macro="" textlink="">
        <xdr:nvSpPr>
          <xdr:cNvPr id="4" name="Rectangle: Rounded Corners 3">
            <a:extLst>
              <a:ext uri="{FF2B5EF4-FFF2-40B4-BE49-F238E27FC236}">
                <a16:creationId xmlns:a16="http://schemas.microsoft.com/office/drawing/2014/main" id="{6069BEC7-9C2A-2E41-3E52-7B3C9ECEE110}"/>
              </a:ext>
            </a:extLst>
          </xdr:cNvPr>
          <xdr:cNvSpPr/>
        </xdr:nvSpPr>
        <xdr:spPr>
          <a:xfrm>
            <a:off x="6751320" y="91440"/>
            <a:ext cx="2956560" cy="1536469"/>
          </a:xfrm>
          <a:prstGeom prst="roundRect">
            <a:avLst/>
          </a:prstGeom>
          <a:grp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C51AD623-2B61-9076-F15E-438E51BF7E33}"/>
              </a:ext>
            </a:extLst>
          </xdr:cNvPr>
          <xdr:cNvSpPr/>
        </xdr:nvSpPr>
        <xdr:spPr>
          <a:xfrm>
            <a:off x="9788235" y="94211"/>
            <a:ext cx="2955867" cy="1511654"/>
          </a:xfrm>
          <a:prstGeom prst="roundRect">
            <a:avLst/>
          </a:prstGeom>
          <a:grp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0</xdr:col>
      <xdr:colOff>81741</xdr:colOff>
      <xdr:row>4</xdr:row>
      <xdr:rowOff>69273</xdr:rowOff>
    </xdr:from>
    <xdr:to>
      <xdr:col>1</xdr:col>
      <xdr:colOff>318655</xdr:colOff>
      <xdr:row>27</xdr:row>
      <xdr:rowOff>73430</xdr:rowOff>
    </xdr:to>
    <xdr:sp macro="" textlink="">
      <xdr:nvSpPr>
        <xdr:cNvPr id="6" name="Rectangle: Rounded Corners 5">
          <a:extLst>
            <a:ext uri="{FF2B5EF4-FFF2-40B4-BE49-F238E27FC236}">
              <a16:creationId xmlns:a16="http://schemas.microsoft.com/office/drawing/2014/main" id="{D742AADE-6D7F-A1A4-6A26-DAC1097638F5}"/>
            </a:ext>
          </a:extLst>
        </xdr:cNvPr>
        <xdr:cNvSpPr/>
      </xdr:nvSpPr>
      <xdr:spPr>
        <a:xfrm rot="5400000">
          <a:off x="-1568335" y="2439785"/>
          <a:ext cx="4146666" cy="846514"/>
        </a:xfrm>
        <a:prstGeom prst="roundRect">
          <a:avLst/>
        </a:prstGeom>
        <a:solidFill>
          <a:schemeClr val="bg1">
            <a:lumMod val="95000"/>
          </a:schemeClr>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360219</xdr:colOff>
      <xdr:row>4</xdr:row>
      <xdr:rowOff>69273</xdr:rowOff>
    </xdr:from>
    <xdr:to>
      <xdr:col>10</xdr:col>
      <xdr:colOff>526474</xdr:colOff>
      <xdr:row>10</xdr:row>
      <xdr:rowOff>48491</xdr:rowOff>
    </xdr:to>
    <xdr:grpSp>
      <xdr:nvGrpSpPr>
        <xdr:cNvPr id="21" name="Group 20">
          <a:extLst>
            <a:ext uri="{FF2B5EF4-FFF2-40B4-BE49-F238E27FC236}">
              <a16:creationId xmlns:a16="http://schemas.microsoft.com/office/drawing/2014/main" id="{D6B0B082-A199-3D68-A2E5-0E8BB08794C0}"/>
            </a:ext>
          </a:extLst>
        </xdr:cNvPr>
        <xdr:cNvGrpSpPr/>
      </xdr:nvGrpSpPr>
      <xdr:grpSpPr>
        <a:xfrm>
          <a:off x="969819" y="789709"/>
          <a:ext cx="5652655" cy="1059873"/>
          <a:chOff x="969819" y="789709"/>
          <a:chExt cx="5652654" cy="1059873"/>
        </a:xfrm>
      </xdr:grpSpPr>
      <xdr:sp macro="" textlink="">
        <xdr:nvSpPr>
          <xdr:cNvPr id="7" name="Rectangle: Rounded Corners 6">
            <a:extLst>
              <a:ext uri="{FF2B5EF4-FFF2-40B4-BE49-F238E27FC236}">
                <a16:creationId xmlns:a16="http://schemas.microsoft.com/office/drawing/2014/main" id="{AF2547AB-B5A6-D369-F6EE-382D9A70D01C}"/>
              </a:ext>
            </a:extLst>
          </xdr:cNvPr>
          <xdr:cNvSpPr>
            <a:spLocks noChangeAspect="1"/>
          </xdr:cNvSpPr>
        </xdr:nvSpPr>
        <xdr:spPr>
          <a:xfrm rot="5400000">
            <a:off x="1312456" y="447072"/>
            <a:ext cx="1059873" cy="1745147"/>
          </a:xfrm>
          <a:prstGeom prst="roundRect">
            <a:avLst>
              <a:gd name="adj" fmla="val 8824"/>
            </a:avLst>
          </a:prstGeom>
          <a:solidFill>
            <a:schemeClr val="bg1">
              <a:lumMod val="95000"/>
            </a:schemeClr>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BCF827B3-74D9-F4CD-E05B-207E698B7F53}"/>
              </a:ext>
            </a:extLst>
          </xdr:cNvPr>
          <xdr:cNvSpPr/>
        </xdr:nvSpPr>
        <xdr:spPr>
          <a:xfrm rot="5400000">
            <a:off x="3157234" y="447072"/>
            <a:ext cx="1059873" cy="1745147"/>
          </a:xfrm>
          <a:prstGeom prst="roundRect">
            <a:avLst>
              <a:gd name="adj" fmla="val 12092"/>
            </a:avLst>
          </a:prstGeom>
          <a:solidFill>
            <a:schemeClr val="bg1">
              <a:lumMod val="95000"/>
            </a:schemeClr>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086F797A-6878-AC04-4A7D-D1A6AE32BE2D}"/>
              </a:ext>
            </a:extLst>
          </xdr:cNvPr>
          <xdr:cNvSpPr/>
        </xdr:nvSpPr>
        <xdr:spPr>
          <a:xfrm rot="5400000">
            <a:off x="5110988" y="338097"/>
            <a:ext cx="1059873" cy="1963098"/>
          </a:xfrm>
          <a:prstGeom prst="roundRect">
            <a:avLst>
              <a:gd name="adj" fmla="val 8170"/>
            </a:avLst>
          </a:prstGeom>
          <a:solidFill>
            <a:schemeClr val="bg1">
              <a:lumMod val="95000"/>
            </a:schemeClr>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1</xdr:col>
      <xdr:colOff>471054</xdr:colOff>
      <xdr:row>15</xdr:row>
      <xdr:rowOff>36021</xdr:rowOff>
    </xdr:from>
    <xdr:to>
      <xdr:col>10</xdr:col>
      <xdr:colOff>588818</xdr:colOff>
      <xdr:row>27</xdr:row>
      <xdr:rowOff>62345</xdr:rowOff>
    </xdr:to>
    <xdr:sp macro="" textlink="">
      <xdr:nvSpPr>
        <xdr:cNvPr id="13" name="Rectangle: Rounded Corners 12">
          <a:extLst>
            <a:ext uri="{FF2B5EF4-FFF2-40B4-BE49-F238E27FC236}">
              <a16:creationId xmlns:a16="http://schemas.microsoft.com/office/drawing/2014/main" id="{20C66F48-2FD1-0B6A-1220-576F6049FFB7}"/>
            </a:ext>
          </a:extLst>
        </xdr:cNvPr>
        <xdr:cNvSpPr/>
      </xdr:nvSpPr>
      <xdr:spPr>
        <a:xfrm>
          <a:off x="1080654" y="2737657"/>
          <a:ext cx="5604164" cy="2187633"/>
        </a:xfrm>
        <a:prstGeom prst="roundRect">
          <a:avLst>
            <a:gd name="adj" fmla="val 1151"/>
          </a:avLst>
        </a:prstGeom>
        <a:solidFill>
          <a:schemeClr val="bg1">
            <a:lumMod val="95000"/>
          </a:schemeClr>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76198</xdr:colOff>
      <xdr:row>12</xdr:row>
      <xdr:rowOff>15239</xdr:rowOff>
    </xdr:from>
    <xdr:to>
      <xdr:col>20</xdr:col>
      <xdr:colOff>568035</xdr:colOff>
      <xdr:row>27</xdr:row>
      <xdr:rowOff>83128</xdr:rowOff>
    </xdr:to>
    <xdr:sp macro="" textlink="">
      <xdr:nvSpPr>
        <xdr:cNvPr id="15" name="Rectangle: Rounded Corners 14">
          <a:extLst>
            <a:ext uri="{FF2B5EF4-FFF2-40B4-BE49-F238E27FC236}">
              <a16:creationId xmlns:a16="http://schemas.microsoft.com/office/drawing/2014/main" id="{C085428F-B59F-D2CF-3A4D-D1D859A4AF57}"/>
            </a:ext>
          </a:extLst>
        </xdr:cNvPr>
        <xdr:cNvSpPr/>
      </xdr:nvSpPr>
      <xdr:spPr>
        <a:xfrm>
          <a:off x="6781798" y="2176548"/>
          <a:ext cx="5978237" cy="2769525"/>
        </a:xfrm>
        <a:prstGeom prst="roundRect">
          <a:avLst>
            <a:gd name="adj" fmla="val 8663"/>
          </a:avLst>
        </a:prstGeom>
        <a:solidFill>
          <a:schemeClr val="bg1">
            <a:lumMod val="95000"/>
          </a:schemeClr>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512618</xdr:colOff>
      <xdr:row>0</xdr:row>
      <xdr:rowOff>55419</xdr:rowOff>
    </xdr:from>
    <xdr:to>
      <xdr:col>7</xdr:col>
      <xdr:colOff>297873</xdr:colOff>
      <xdr:row>2</xdr:row>
      <xdr:rowOff>0</xdr:rowOff>
    </xdr:to>
    <xdr:sp macro="" textlink="">
      <xdr:nvSpPr>
        <xdr:cNvPr id="16" name="TextBox 15">
          <a:extLst>
            <a:ext uri="{FF2B5EF4-FFF2-40B4-BE49-F238E27FC236}">
              <a16:creationId xmlns:a16="http://schemas.microsoft.com/office/drawing/2014/main" id="{C0580D2B-C9E3-4FF8-A7AF-B1C6FF3F8241}"/>
            </a:ext>
          </a:extLst>
        </xdr:cNvPr>
        <xdr:cNvSpPr txBox="1"/>
      </xdr:nvSpPr>
      <xdr:spPr>
        <a:xfrm>
          <a:off x="1122218" y="55419"/>
          <a:ext cx="3442855"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36000" rIns="0" bIns="0" rtlCol="0" anchor="ctr"/>
        <a:lstStyle/>
        <a:p>
          <a:pPr algn="ctr"/>
          <a:r>
            <a:rPr lang="en-IN" sz="1800" b="1"/>
            <a:t>Hospital Emergency</a:t>
          </a:r>
          <a:r>
            <a:rPr lang="en-IN" sz="1800" b="1" baseline="0"/>
            <a:t> Room</a:t>
          </a:r>
          <a:endParaRPr lang="en-IN" sz="1800" b="1"/>
        </a:p>
      </xdr:txBody>
    </xdr:sp>
    <xdr:clientData/>
  </xdr:twoCellAnchor>
  <xdr:twoCellAnchor editAs="oneCell">
    <xdr:from>
      <xdr:col>0</xdr:col>
      <xdr:colOff>90054</xdr:colOff>
      <xdr:row>0</xdr:row>
      <xdr:rowOff>0</xdr:rowOff>
    </xdr:from>
    <xdr:to>
      <xdr:col>2</xdr:col>
      <xdr:colOff>69272</xdr:colOff>
      <xdr:row>4</xdr:row>
      <xdr:rowOff>56494</xdr:rowOff>
    </xdr:to>
    <xdr:pic>
      <xdr:nvPicPr>
        <xdr:cNvPr id="18" name="Picture 17">
          <a:extLst>
            <a:ext uri="{FF2B5EF4-FFF2-40B4-BE49-F238E27FC236}">
              <a16:creationId xmlns:a16="http://schemas.microsoft.com/office/drawing/2014/main" id="{6901DFF7-D165-1AA4-A1EA-1AAF26C091A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4356" r="1"/>
        <a:stretch>
          <a:fillRect/>
        </a:stretch>
      </xdr:blipFill>
      <xdr:spPr>
        <a:xfrm>
          <a:off x="90054" y="0"/>
          <a:ext cx="1198418" cy="776930"/>
        </a:xfrm>
        <a:prstGeom prst="rect">
          <a:avLst/>
        </a:prstGeom>
      </xdr:spPr>
    </xdr:pic>
    <xdr:clientData/>
  </xdr:twoCellAnchor>
  <xdr:twoCellAnchor editAs="absolute">
    <xdr:from>
      <xdr:col>2</xdr:col>
      <xdr:colOff>13855</xdr:colOff>
      <xdr:row>2</xdr:row>
      <xdr:rowOff>0</xdr:rowOff>
    </xdr:from>
    <xdr:to>
      <xdr:col>7</xdr:col>
      <xdr:colOff>1</xdr:colOff>
      <xdr:row>3</xdr:row>
      <xdr:rowOff>96981</xdr:rowOff>
    </xdr:to>
    <xdr:sp macro="" textlink="">
      <xdr:nvSpPr>
        <xdr:cNvPr id="19" name="TextBox 18">
          <a:extLst>
            <a:ext uri="{FF2B5EF4-FFF2-40B4-BE49-F238E27FC236}">
              <a16:creationId xmlns:a16="http://schemas.microsoft.com/office/drawing/2014/main" id="{930F67A0-D2A8-6039-E52C-244C84D3715D}"/>
            </a:ext>
          </a:extLst>
        </xdr:cNvPr>
        <xdr:cNvSpPr txBox="1"/>
      </xdr:nvSpPr>
      <xdr:spPr>
        <a:xfrm>
          <a:off x="1233055" y="360218"/>
          <a:ext cx="3034146" cy="277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36000" rIns="0" bIns="0" rtlCol="0" anchor="ctr"/>
        <a:lstStyle/>
        <a:p>
          <a:pPr algn="ctr"/>
          <a:r>
            <a:rPr lang="en-IN" sz="1600"/>
            <a:t>Monthly</a:t>
          </a:r>
          <a:r>
            <a:rPr lang="en-IN" sz="1600" baseline="0"/>
            <a:t> Report</a:t>
          </a:r>
          <a:endParaRPr lang="en-IN" sz="1600"/>
        </a:p>
      </xdr:txBody>
    </xdr:sp>
    <xdr:clientData/>
  </xdr:twoCellAnchor>
  <xdr:twoCellAnchor>
    <xdr:from>
      <xdr:col>2</xdr:col>
      <xdr:colOff>13855</xdr:colOff>
      <xdr:row>4</xdr:row>
      <xdr:rowOff>180108</xdr:rowOff>
    </xdr:from>
    <xdr:to>
      <xdr:col>4</xdr:col>
      <xdr:colOff>13855</xdr:colOff>
      <xdr:row>5</xdr:row>
      <xdr:rowOff>180109</xdr:rowOff>
    </xdr:to>
    <xdr:sp macro="" textlink="Pivot!A5">
      <xdr:nvSpPr>
        <xdr:cNvPr id="22" name="TextBox 21">
          <a:extLst>
            <a:ext uri="{FF2B5EF4-FFF2-40B4-BE49-F238E27FC236}">
              <a16:creationId xmlns:a16="http://schemas.microsoft.com/office/drawing/2014/main" id="{EE61D032-4B05-287C-92D9-BCE4D1B8A6F9}"/>
            </a:ext>
          </a:extLst>
        </xdr:cNvPr>
        <xdr:cNvSpPr txBox="1"/>
      </xdr:nvSpPr>
      <xdr:spPr>
        <a:xfrm>
          <a:off x="1233055" y="900544"/>
          <a:ext cx="1219200" cy="1801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C82AFC-0D9F-43A4-ABBA-D4D4D47B3EB6}" type="TxLink">
            <a:rPr lang="en-US" sz="1600" b="1" i="0" u="none" strike="noStrike">
              <a:solidFill>
                <a:srgbClr val="000000"/>
              </a:solidFill>
              <a:latin typeface="Calibri"/>
              <a:ea typeface="Calibri"/>
              <a:cs typeface="Calibri"/>
            </a:rPr>
            <a:pPr algn="ctr"/>
            <a:t>506</a:t>
          </a:fld>
          <a:endParaRPr lang="en-IN" sz="1600" b="1"/>
        </a:p>
      </xdr:txBody>
    </xdr:sp>
    <xdr:clientData/>
  </xdr:twoCellAnchor>
  <xdr:twoCellAnchor>
    <xdr:from>
      <xdr:col>2</xdr:col>
      <xdr:colOff>0</xdr:colOff>
      <xdr:row>6</xdr:row>
      <xdr:rowOff>0</xdr:rowOff>
    </xdr:from>
    <xdr:to>
      <xdr:col>4</xdr:col>
      <xdr:colOff>0</xdr:colOff>
      <xdr:row>8</xdr:row>
      <xdr:rowOff>0</xdr:rowOff>
    </xdr:to>
    <xdr:sp macro="" textlink="Pivot!A5">
      <xdr:nvSpPr>
        <xdr:cNvPr id="23" name="TextBox 22">
          <a:extLst>
            <a:ext uri="{FF2B5EF4-FFF2-40B4-BE49-F238E27FC236}">
              <a16:creationId xmlns:a16="http://schemas.microsoft.com/office/drawing/2014/main" id="{AC70B9CC-5E2E-47F2-4956-18C6E78C725C}"/>
            </a:ext>
          </a:extLst>
        </xdr:cNvPr>
        <xdr:cNvSpPr txBox="1"/>
      </xdr:nvSpPr>
      <xdr:spPr>
        <a:xfrm>
          <a:off x="1219200" y="1080655"/>
          <a:ext cx="1219200" cy="360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000000"/>
              </a:solidFill>
              <a:latin typeface="Calibri"/>
              <a:ea typeface="Calibri"/>
              <a:cs typeface="Calibri"/>
            </a:rPr>
            <a:t>No. of Patients</a:t>
          </a:r>
          <a:endParaRPr lang="en-IN" sz="1100" b="0"/>
        </a:p>
      </xdr:txBody>
    </xdr:sp>
    <xdr:clientData/>
  </xdr:twoCellAnchor>
  <xdr:twoCellAnchor>
    <xdr:from>
      <xdr:col>5</xdr:col>
      <xdr:colOff>0</xdr:colOff>
      <xdr:row>5</xdr:row>
      <xdr:rowOff>0</xdr:rowOff>
    </xdr:from>
    <xdr:to>
      <xdr:col>7</xdr:col>
      <xdr:colOff>0</xdr:colOff>
      <xdr:row>6</xdr:row>
      <xdr:rowOff>0</xdr:rowOff>
    </xdr:to>
    <xdr:sp macro="" textlink="Pivot!A12">
      <xdr:nvSpPr>
        <xdr:cNvPr id="24" name="TextBox 23">
          <a:extLst>
            <a:ext uri="{FF2B5EF4-FFF2-40B4-BE49-F238E27FC236}">
              <a16:creationId xmlns:a16="http://schemas.microsoft.com/office/drawing/2014/main" id="{A98DDE3A-96B6-5455-6A7E-AA847F9268D0}"/>
            </a:ext>
          </a:extLst>
        </xdr:cNvPr>
        <xdr:cNvSpPr txBox="1"/>
      </xdr:nvSpPr>
      <xdr:spPr>
        <a:xfrm>
          <a:off x="3048000" y="900545"/>
          <a:ext cx="1219200" cy="1801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D02169-31D6-404C-AC57-344F6F82FD18}" type="TxLink">
            <a:rPr lang="en-US" sz="1600" b="1" i="0" u="none" strike="noStrike">
              <a:solidFill>
                <a:srgbClr val="000000"/>
              </a:solidFill>
              <a:latin typeface="Calibri"/>
              <a:ea typeface="Calibri"/>
              <a:cs typeface="Calibri"/>
            </a:rPr>
            <a:pPr algn="ctr"/>
            <a:t>35.88</a:t>
          </a:fld>
          <a:endParaRPr lang="en-IN" sz="2400" b="1"/>
        </a:p>
      </xdr:txBody>
    </xdr:sp>
    <xdr:clientData/>
  </xdr:twoCellAnchor>
  <xdr:twoCellAnchor>
    <xdr:from>
      <xdr:col>5</xdr:col>
      <xdr:colOff>0</xdr:colOff>
      <xdr:row>5</xdr:row>
      <xdr:rowOff>152400</xdr:rowOff>
    </xdr:from>
    <xdr:to>
      <xdr:col>7</xdr:col>
      <xdr:colOff>184800</xdr:colOff>
      <xdr:row>7</xdr:row>
      <xdr:rowOff>152400</xdr:rowOff>
    </xdr:to>
    <xdr:sp macro="" textlink="Pivot!A5">
      <xdr:nvSpPr>
        <xdr:cNvPr id="25" name="TextBox 24">
          <a:extLst>
            <a:ext uri="{FF2B5EF4-FFF2-40B4-BE49-F238E27FC236}">
              <a16:creationId xmlns:a16="http://schemas.microsoft.com/office/drawing/2014/main" id="{2F95AA03-87BB-8B33-2BD6-4A9AF39BE6EC}"/>
            </a:ext>
          </a:extLst>
        </xdr:cNvPr>
        <xdr:cNvSpPr txBox="1"/>
      </xdr:nvSpPr>
      <xdr:spPr>
        <a:xfrm>
          <a:off x="3048000" y="1052945"/>
          <a:ext cx="1404000" cy="360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000000"/>
              </a:solidFill>
              <a:latin typeface="Calibri"/>
              <a:ea typeface="Calibri"/>
              <a:cs typeface="Calibri"/>
            </a:rPr>
            <a:t>Avg. Wait Time (Min)</a:t>
          </a:r>
          <a:endParaRPr lang="en-IN" sz="1100" b="0"/>
        </a:p>
      </xdr:txBody>
    </xdr:sp>
    <xdr:clientData/>
  </xdr:twoCellAnchor>
  <xdr:twoCellAnchor>
    <xdr:from>
      <xdr:col>8</xdr:col>
      <xdr:colOff>159327</xdr:colOff>
      <xdr:row>5</xdr:row>
      <xdr:rowOff>0</xdr:rowOff>
    </xdr:from>
    <xdr:to>
      <xdr:col>10</xdr:col>
      <xdr:colOff>159327</xdr:colOff>
      <xdr:row>6</xdr:row>
      <xdr:rowOff>0</xdr:rowOff>
    </xdr:to>
    <xdr:sp macro="" textlink="Pivot!A8">
      <xdr:nvSpPr>
        <xdr:cNvPr id="26" name="TextBox 25">
          <a:extLst>
            <a:ext uri="{FF2B5EF4-FFF2-40B4-BE49-F238E27FC236}">
              <a16:creationId xmlns:a16="http://schemas.microsoft.com/office/drawing/2014/main" id="{0E2B1460-9D73-2B86-9CC8-255B0A0E8581}"/>
            </a:ext>
          </a:extLst>
        </xdr:cNvPr>
        <xdr:cNvSpPr txBox="1"/>
      </xdr:nvSpPr>
      <xdr:spPr>
        <a:xfrm>
          <a:off x="5036127" y="900545"/>
          <a:ext cx="1219200" cy="1801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4F6054-59E1-4D61-A57D-C4739E95525D}" type="TxLink">
            <a:rPr lang="en-US" sz="1600" b="1" i="0" u="none" strike="noStrike">
              <a:solidFill>
                <a:srgbClr val="000000"/>
              </a:solidFill>
              <a:latin typeface="Calibri"/>
              <a:ea typeface="Calibri"/>
              <a:cs typeface="Calibri"/>
            </a:rPr>
            <a:pPr algn="ctr"/>
            <a:t>5.33</a:t>
          </a:fld>
          <a:endParaRPr lang="en-IN" sz="2400" b="1"/>
        </a:p>
      </xdr:txBody>
    </xdr:sp>
    <xdr:clientData/>
  </xdr:twoCellAnchor>
  <xdr:twoCellAnchor>
    <xdr:from>
      <xdr:col>7</xdr:col>
      <xdr:colOff>422400</xdr:colOff>
      <xdr:row>5</xdr:row>
      <xdr:rowOff>180109</xdr:rowOff>
    </xdr:from>
    <xdr:to>
      <xdr:col>10</xdr:col>
      <xdr:colOff>501600</xdr:colOff>
      <xdr:row>8</xdr:row>
      <xdr:rowOff>0</xdr:rowOff>
    </xdr:to>
    <xdr:sp macro="" textlink="Pivot!A5">
      <xdr:nvSpPr>
        <xdr:cNvPr id="27" name="TextBox 26">
          <a:extLst>
            <a:ext uri="{FF2B5EF4-FFF2-40B4-BE49-F238E27FC236}">
              <a16:creationId xmlns:a16="http://schemas.microsoft.com/office/drawing/2014/main" id="{F2D6296D-E82A-7B54-8592-A84A86637D61}"/>
            </a:ext>
          </a:extLst>
        </xdr:cNvPr>
        <xdr:cNvSpPr txBox="1"/>
      </xdr:nvSpPr>
      <xdr:spPr>
        <a:xfrm>
          <a:off x="4689600" y="1080654"/>
          <a:ext cx="1908000" cy="360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000000"/>
              </a:solidFill>
              <a:latin typeface="Calibri"/>
              <a:ea typeface="Calibri"/>
              <a:cs typeface="Calibri"/>
            </a:rPr>
            <a:t>Patient</a:t>
          </a:r>
          <a:r>
            <a:rPr lang="en-US" sz="1100" b="0" i="0" u="none" strike="noStrike" baseline="0">
              <a:solidFill>
                <a:srgbClr val="000000"/>
              </a:solidFill>
              <a:latin typeface="Calibri"/>
              <a:ea typeface="Calibri"/>
              <a:cs typeface="Calibri"/>
            </a:rPr>
            <a:t> Statisfaction Score</a:t>
          </a:r>
          <a:endParaRPr lang="en-IN" sz="1100" b="0"/>
        </a:p>
      </xdr:txBody>
    </xdr:sp>
    <xdr:clientData/>
  </xdr:twoCellAnchor>
  <xdr:twoCellAnchor editAs="absolute">
    <xdr:from>
      <xdr:col>3</xdr:col>
      <xdr:colOff>450273</xdr:colOff>
      <xdr:row>4</xdr:row>
      <xdr:rowOff>65401</xdr:rowOff>
    </xdr:from>
    <xdr:to>
      <xdr:col>4</xdr:col>
      <xdr:colOff>200673</xdr:colOff>
      <xdr:row>6</xdr:row>
      <xdr:rowOff>65182</xdr:rowOff>
    </xdr:to>
    <xdr:pic>
      <xdr:nvPicPr>
        <xdr:cNvPr id="29" name="Graphic 28" descr="Male profile with solid fill">
          <a:extLst>
            <a:ext uri="{FF2B5EF4-FFF2-40B4-BE49-F238E27FC236}">
              <a16:creationId xmlns:a16="http://schemas.microsoft.com/office/drawing/2014/main" id="{B235AF6B-B4D2-D14B-4C55-94F0D806AFE3}"/>
            </a:ext>
          </a:extLst>
        </xdr:cNvPr>
        <xdr:cNvPicPr preferRelativeResize="0">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279073" y="785837"/>
          <a:ext cx="360000" cy="360000"/>
        </a:xfrm>
        <a:prstGeom prst="rect">
          <a:avLst/>
        </a:prstGeom>
      </xdr:spPr>
    </xdr:pic>
    <xdr:clientData/>
  </xdr:twoCellAnchor>
  <xdr:twoCellAnchor editAs="oneCell">
    <xdr:from>
      <xdr:col>7</xdr:col>
      <xdr:colOff>1</xdr:colOff>
      <xdr:row>4</xdr:row>
      <xdr:rowOff>69273</xdr:rowOff>
    </xdr:from>
    <xdr:to>
      <xdr:col>7</xdr:col>
      <xdr:colOff>218401</xdr:colOff>
      <xdr:row>6</xdr:row>
      <xdr:rowOff>69054</xdr:rowOff>
    </xdr:to>
    <xdr:pic>
      <xdr:nvPicPr>
        <xdr:cNvPr id="31" name="Graphic 30" descr="Stopwatch with solid fill">
          <a:extLst>
            <a:ext uri="{FF2B5EF4-FFF2-40B4-BE49-F238E27FC236}">
              <a16:creationId xmlns:a16="http://schemas.microsoft.com/office/drawing/2014/main" id="{95473960-63E0-7157-0B33-D515FBCA452D}"/>
            </a:ext>
          </a:extLst>
        </xdr:cNvPr>
        <xdr:cNvPicPr preferRelativeResize="0">
          <a:picLocks/>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267201" y="789709"/>
          <a:ext cx="218400" cy="360000"/>
        </a:xfrm>
        <a:prstGeom prst="rect">
          <a:avLst/>
        </a:prstGeom>
      </xdr:spPr>
    </xdr:pic>
    <xdr:clientData/>
  </xdr:twoCellAnchor>
  <xdr:twoCellAnchor editAs="oneCell">
    <xdr:from>
      <xdr:col>10</xdr:col>
      <xdr:colOff>52583</xdr:colOff>
      <xdr:row>4</xdr:row>
      <xdr:rowOff>90911</xdr:rowOff>
    </xdr:from>
    <xdr:to>
      <xdr:col>10</xdr:col>
      <xdr:colOff>526474</xdr:colOff>
      <xdr:row>6</xdr:row>
      <xdr:rowOff>69054</xdr:rowOff>
    </xdr:to>
    <xdr:pic>
      <xdr:nvPicPr>
        <xdr:cNvPr id="33" name="Graphic 32" descr="Star with solid fill">
          <a:extLst>
            <a:ext uri="{FF2B5EF4-FFF2-40B4-BE49-F238E27FC236}">
              <a16:creationId xmlns:a16="http://schemas.microsoft.com/office/drawing/2014/main" id="{2A1AFDE9-CEBB-E247-E367-ABFB50ED4C2F}"/>
            </a:ext>
          </a:extLst>
        </xdr:cNvPr>
        <xdr:cNvPicPr preferRelativeResize="0">
          <a:picLocks/>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48583" y="811347"/>
          <a:ext cx="473891" cy="338362"/>
        </a:xfrm>
        <a:prstGeom prst="rect">
          <a:avLst/>
        </a:prstGeom>
      </xdr:spPr>
    </xdr:pic>
    <xdr:clientData/>
  </xdr:twoCellAnchor>
  <xdr:twoCellAnchor editAs="oneCell">
    <xdr:from>
      <xdr:col>0</xdr:col>
      <xdr:colOff>148936</xdr:colOff>
      <xdr:row>4</xdr:row>
      <xdr:rowOff>130561</xdr:rowOff>
    </xdr:from>
    <xdr:to>
      <xdr:col>1</xdr:col>
      <xdr:colOff>259336</xdr:colOff>
      <xdr:row>27</xdr:row>
      <xdr:rowOff>39650</xdr:rowOff>
    </xdr:to>
    <mc:AlternateContent xmlns:mc="http://schemas.openxmlformats.org/markup-compatibility/2006" xmlns:a14="http://schemas.microsoft.com/office/drawing/2010/main">
      <mc:Choice Requires="a14">
        <xdr:graphicFrame macro="">
          <xdr:nvGraphicFramePr>
            <xdr:cNvPr id="34" name="Date (Month)">
              <a:extLst>
                <a:ext uri="{FF2B5EF4-FFF2-40B4-BE49-F238E27FC236}">
                  <a16:creationId xmlns:a16="http://schemas.microsoft.com/office/drawing/2014/main" id="{4E2A0C38-F227-48F3-96C6-2C1E9536CDB0}"/>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48936" y="850997"/>
              <a:ext cx="720000" cy="40515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221674</xdr:colOff>
      <xdr:row>6</xdr:row>
      <xdr:rowOff>117753</xdr:rowOff>
    </xdr:from>
    <xdr:to>
      <xdr:col>4</xdr:col>
      <xdr:colOff>408709</xdr:colOff>
      <xdr:row>10</xdr:row>
      <xdr:rowOff>166248</xdr:rowOff>
    </xdr:to>
    <xdr:graphicFrame macro="">
      <xdr:nvGraphicFramePr>
        <xdr:cNvPr id="10" name="Chart 9">
          <a:hlinkClick xmlns:r="http://schemas.openxmlformats.org/officeDocument/2006/relationships" r:id="rId8"/>
          <a:extLst>
            <a:ext uri="{FF2B5EF4-FFF2-40B4-BE49-F238E27FC236}">
              <a16:creationId xmlns:a16="http://schemas.microsoft.com/office/drawing/2014/main" id="{F54633D8-6D27-44B3-B303-3235DEDC8E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221674</xdr:colOff>
      <xdr:row>7</xdr:row>
      <xdr:rowOff>55412</xdr:rowOff>
    </xdr:from>
    <xdr:to>
      <xdr:col>7</xdr:col>
      <xdr:colOff>436418</xdr:colOff>
      <xdr:row>11</xdr:row>
      <xdr:rowOff>13854</xdr:rowOff>
    </xdr:to>
    <xdr:graphicFrame macro="">
      <xdr:nvGraphicFramePr>
        <xdr:cNvPr id="28" name="Chart 27">
          <a:hlinkClick xmlns:r="http://schemas.openxmlformats.org/officeDocument/2006/relationships" r:id="rId10"/>
          <a:extLst>
            <a:ext uri="{FF2B5EF4-FFF2-40B4-BE49-F238E27FC236}">
              <a16:creationId xmlns:a16="http://schemas.microsoft.com/office/drawing/2014/main" id="{48BB5E46-8D8A-4D01-B7C7-11E67E9839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256308</xdr:colOff>
      <xdr:row>5</xdr:row>
      <xdr:rowOff>131617</xdr:rowOff>
    </xdr:from>
    <xdr:to>
      <xdr:col>11</xdr:col>
      <xdr:colOff>69273</xdr:colOff>
      <xdr:row>11</xdr:row>
      <xdr:rowOff>13854</xdr:rowOff>
    </xdr:to>
    <xdr:graphicFrame macro="">
      <xdr:nvGraphicFramePr>
        <xdr:cNvPr id="12" name="Chart 11">
          <a:hlinkClick xmlns:r="http://schemas.openxmlformats.org/officeDocument/2006/relationships" r:id="rId12"/>
          <a:extLst>
            <a:ext uri="{FF2B5EF4-FFF2-40B4-BE49-F238E27FC236}">
              <a16:creationId xmlns:a16="http://schemas.microsoft.com/office/drawing/2014/main" id="{D2B8E72D-A632-4DFD-B6C6-BF32F0A35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367144</xdr:colOff>
          <xdr:row>10</xdr:row>
          <xdr:rowOff>117762</xdr:rowOff>
        </xdr:from>
        <xdr:to>
          <xdr:col>10</xdr:col>
          <xdr:colOff>588817</xdr:colOff>
          <xdr:row>14</xdr:row>
          <xdr:rowOff>134767</xdr:rowOff>
        </xdr:to>
        <xdr:pic>
          <xdr:nvPicPr>
            <xdr:cNvPr id="20" name="Picture 19">
              <a:extLst>
                <a:ext uri="{FF2B5EF4-FFF2-40B4-BE49-F238E27FC236}">
                  <a16:creationId xmlns:a16="http://schemas.microsoft.com/office/drawing/2014/main" id="{9F7C51CD-FC9B-8508-790E-0CCD55966334}"/>
                </a:ext>
              </a:extLst>
            </xdr:cNvPr>
            <xdr:cNvPicPr>
              <a:picLocks noChangeAspect="1" noChangeArrowheads="1"/>
              <a:extLst>
                <a:ext uri="{84589F7E-364E-4C9E-8A38-B11213B215E9}">
                  <a14:cameraTool cellRange="Pivot!$A$52:$E$54" spid="_x0000_s2060"/>
                </a:ext>
              </a:extLst>
            </xdr:cNvPicPr>
          </xdr:nvPicPr>
          <xdr:blipFill>
            <a:blip xmlns:r="http://schemas.openxmlformats.org/officeDocument/2006/relationships" r:embed="rId14"/>
            <a:srcRect/>
            <a:stretch>
              <a:fillRect/>
            </a:stretch>
          </xdr:blipFill>
          <xdr:spPr bwMode="auto">
            <a:xfrm>
              <a:off x="976744" y="1918853"/>
              <a:ext cx="5708073" cy="73744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477981</xdr:colOff>
      <xdr:row>15</xdr:row>
      <xdr:rowOff>41565</xdr:rowOff>
    </xdr:from>
    <xdr:to>
      <xdr:col>10</xdr:col>
      <xdr:colOff>581890</xdr:colOff>
      <xdr:row>27</xdr:row>
      <xdr:rowOff>48491</xdr:rowOff>
    </xdr:to>
    <xdr:graphicFrame macro="">
      <xdr:nvGraphicFramePr>
        <xdr:cNvPr id="30" name="Chart 29">
          <a:extLst>
            <a:ext uri="{FF2B5EF4-FFF2-40B4-BE49-F238E27FC236}">
              <a16:creationId xmlns:a16="http://schemas.microsoft.com/office/drawing/2014/main" id="{73E74D8B-2E81-44ED-954C-7A9ACF5FF5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471055</xdr:colOff>
      <xdr:row>26</xdr:row>
      <xdr:rowOff>76200</xdr:rowOff>
    </xdr:from>
    <xdr:to>
      <xdr:col>10</xdr:col>
      <xdr:colOff>76199</xdr:colOff>
      <xdr:row>27</xdr:row>
      <xdr:rowOff>62347</xdr:rowOff>
    </xdr:to>
    <xdr:sp macro="" textlink="Pivot!A5">
      <xdr:nvSpPr>
        <xdr:cNvPr id="32" name="TextBox 31">
          <a:extLst>
            <a:ext uri="{FF2B5EF4-FFF2-40B4-BE49-F238E27FC236}">
              <a16:creationId xmlns:a16="http://schemas.microsoft.com/office/drawing/2014/main" id="{B2CA5290-86C5-4106-91A1-1C7D99DB9DC4}"/>
            </a:ext>
          </a:extLst>
        </xdr:cNvPr>
        <xdr:cNvSpPr txBox="1"/>
      </xdr:nvSpPr>
      <xdr:spPr>
        <a:xfrm>
          <a:off x="4738255" y="4759036"/>
          <a:ext cx="1433944" cy="166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b="0"/>
        </a:p>
      </xdr:txBody>
    </xdr:sp>
    <xdr:clientData/>
  </xdr:twoCellAnchor>
  <xdr:twoCellAnchor>
    <xdr:from>
      <xdr:col>11</xdr:col>
      <xdr:colOff>41561</xdr:colOff>
      <xdr:row>0</xdr:row>
      <xdr:rowOff>166254</xdr:rowOff>
    </xdr:from>
    <xdr:to>
      <xdr:col>16</xdr:col>
      <xdr:colOff>6926</xdr:colOff>
      <xdr:row>11</xdr:row>
      <xdr:rowOff>41563</xdr:rowOff>
    </xdr:to>
    <xdr:graphicFrame macro="">
      <xdr:nvGraphicFramePr>
        <xdr:cNvPr id="11" name="Chart 10">
          <a:extLst>
            <a:ext uri="{FF2B5EF4-FFF2-40B4-BE49-F238E27FC236}">
              <a16:creationId xmlns:a16="http://schemas.microsoft.com/office/drawing/2014/main" id="{A74FBD0F-2139-40AB-9F50-643338C796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574964</xdr:colOff>
      <xdr:row>9</xdr:row>
      <xdr:rowOff>69272</xdr:rowOff>
    </xdr:from>
    <xdr:to>
      <xdr:col>15</xdr:col>
      <xdr:colOff>90055</xdr:colOff>
      <xdr:row>10</xdr:row>
      <xdr:rowOff>124690</xdr:rowOff>
    </xdr:to>
    <xdr:sp macro="" textlink="">
      <xdr:nvSpPr>
        <xdr:cNvPr id="35" name="TextBox 34">
          <a:extLst>
            <a:ext uri="{FF2B5EF4-FFF2-40B4-BE49-F238E27FC236}">
              <a16:creationId xmlns:a16="http://schemas.microsoft.com/office/drawing/2014/main" id="{00439D61-59CF-49FC-92B6-D7604870365A}"/>
            </a:ext>
          </a:extLst>
        </xdr:cNvPr>
        <xdr:cNvSpPr txBox="1"/>
      </xdr:nvSpPr>
      <xdr:spPr>
        <a:xfrm>
          <a:off x="7280564" y="1690254"/>
          <a:ext cx="1953491" cy="235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Patient attended with time</a:t>
          </a:r>
        </a:p>
      </xdr:txBody>
    </xdr:sp>
    <xdr:clientData/>
  </xdr:twoCellAnchor>
  <xdr:twoCellAnchor>
    <xdr:from>
      <xdr:col>15</xdr:col>
      <xdr:colOff>554181</xdr:colOff>
      <xdr:row>0</xdr:row>
      <xdr:rowOff>36020</xdr:rowOff>
    </xdr:from>
    <xdr:to>
      <xdr:col>20</xdr:col>
      <xdr:colOff>581889</xdr:colOff>
      <xdr:row>10</xdr:row>
      <xdr:rowOff>103908</xdr:rowOff>
    </xdr:to>
    <xdr:graphicFrame macro="">
      <xdr:nvGraphicFramePr>
        <xdr:cNvPr id="37" name="Chart 36">
          <a:extLst>
            <a:ext uri="{FF2B5EF4-FFF2-40B4-BE49-F238E27FC236}">
              <a16:creationId xmlns:a16="http://schemas.microsoft.com/office/drawing/2014/main" id="{6E3526B8-0940-4705-B20E-0EB085B20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xdr:col>
      <xdr:colOff>554183</xdr:colOff>
      <xdr:row>9</xdr:row>
      <xdr:rowOff>83127</xdr:rowOff>
    </xdr:from>
    <xdr:to>
      <xdr:col>20</xdr:col>
      <xdr:colOff>69274</xdr:colOff>
      <xdr:row>10</xdr:row>
      <xdr:rowOff>138545</xdr:rowOff>
    </xdr:to>
    <xdr:sp macro="" textlink="">
      <xdr:nvSpPr>
        <xdr:cNvPr id="38" name="TextBox 37">
          <a:extLst>
            <a:ext uri="{FF2B5EF4-FFF2-40B4-BE49-F238E27FC236}">
              <a16:creationId xmlns:a16="http://schemas.microsoft.com/office/drawing/2014/main" id="{8D55163A-2C22-14FA-87AF-9684C2B6EE7D}"/>
            </a:ext>
          </a:extLst>
        </xdr:cNvPr>
        <xdr:cNvSpPr txBox="1"/>
      </xdr:nvSpPr>
      <xdr:spPr>
        <a:xfrm>
          <a:off x="10307783" y="1704109"/>
          <a:ext cx="1953491" cy="235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Gender Wise Analysis</a:t>
          </a:r>
        </a:p>
      </xdr:txBody>
    </xdr:sp>
    <xdr:clientData/>
  </xdr:twoCellAnchor>
  <xdr:twoCellAnchor>
    <xdr:from>
      <xdr:col>11</xdr:col>
      <xdr:colOff>83126</xdr:colOff>
      <xdr:row>11</xdr:row>
      <xdr:rowOff>159327</xdr:rowOff>
    </xdr:from>
    <xdr:to>
      <xdr:col>20</xdr:col>
      <xdr:colOff>568035</xdr:colOff>
      <xdr:row>27</xdr:row>
      <xdr:rowOff>76199</xdr:rowOff>
    </xdr:to>
    <xdr:graphicFrame macro="">
      <xdr:nvGraphicFramePr>
        <xdr:cNvPr id="39" name="Chart 38">
          <a:extLst>
            <a:ext uri="{FF2B5EF4-FFF2-40B4-BE49-F238E27FC236}">
              <a16:creationId xmlns:a16="http://schemas.microsoft.com/office/drawing/2014/main" id="{D270440C-741C-4A5F-A29D-B783570185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xdr:col>
      <xdr:colOff>41566</xdr:colOff>
      <xdr:row>26</xdr:row>
      <xdr:rowOff>20789</xdr:rowOff>
    </xdr:from>
    <xdr:to>
      <xdr:col>18</xdr:col>
      <xdr:colOff>90054</xdr:colOff>
      <xdr:row>27</xdr:row>
      <xdr:rowOff>76207</xdr:rowOff>
    </xdr:to>
    <xdr:sp macro="" textlink="">
      <xdr:nvSpPr>
        <xdr:cNvPr id="40" name="TextBox 39">
          <a:extLst>
            <a:ext uri="{FF2B5EF4-FFF2-40B4-BE49-F238E27FC236}">
              <a16:creationId xmlns:a16="http://schemas.microsoft.com/office/drawing/2014/main" id="{44D31D97-DE59-FFEA-2CE3-8C81C87FA5C4}"/>
            </a:ext>
          </a:extLst>
        </xdr:cNvPr>
        <xdr:cNvSpPr txBox="1"/>
      </xdr:nvSpPr>
      <xdr:spPr>
        <a:xfrm>
          <a:off x="8575966" y="4703625"/>
          <a:ext cx="2486888" cy="235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No. of Patient by Department</a:t>
          </a:r>
          <a:r>
            <a:rPr lang="en-IN" sz="1100" b="1" baseline="0"/>
            <a:t> </a:t>
          </a:r>
          <a:r>
            <a:rPr lang="en-IN" sz="1100" b="1"/>
            <a:t>Referal</a:t>
          </a:r>
        </a:p>
      </xdr:txBody>
    </xdr:sp>
    <xdr:clientData/>
  </xdr:twoCellAnchor>
  <xdr:twoCellAnchor editAs="oneCell">
    <xdr:from>
      <xdr:col>8</xdr:col>
      <xdr:colOff>381000</xdr:colOff>
      <xdr:row>0</xdr:row>
      <xdr:rowOff>145473</xdr:rowOff>
    </xdr:from>
    <xdr:to>
      <xdr:col>10</xdr:col>
      <xdr:colOff>415636</xdr:colOff>
      <xdr:row>3</xdr:row>
      <xdr:rowOff>41564</xdr:rowOff>
    </xdr:to>
    <mc:AlternateContent xmlns:mc="http://schemas.openxmlformats.org/markup-compatibility/2006">
      <mc:Choice xmlns:a14="http://schemas.microsoft.com/office/drawing/2010/main" Requires="a14">
        <xdr:graphicFrame macro="">
          <xdr:nvGraphicFramePr>
            <xdr:cNvPr id="41" name="Date (Year)">
              <a:extLst>
                <a:ext uri="{FF2B5EF4-FFF2-40B4-BE49-F238E27FC236}">
                  <a16:creationId xmlns:a16="http://schemas.microsoft.com/office/drawing/2014/main" id="{64DB76D3-9AB5-45C7-9428-ACA22443EBE2}"/>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5257800" y="145473"/>
              <a:ext cx="1253836" cy="4364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167640</xdr:colOff>
      <xdr:row>4</xdr:row>
      <xdr:rowOff>45720</xdr:rowOff>
    </xdr:from>
    <xdr:to>
      <xdr:col>20</xdr:col>
      <xdr:colOff>114300</xdr:colOff>
      <xdr:row>19</xdr:row>
      <xdr:rowOff>30480</xdr:rowOff>
    </xdr:to>
    <xdr:graphicFrame macro="">
      <xdr:nvGraphicFramePr>
        <xdr:cNvPr id="4" name="Chart 3">
          <a:extLst>
            <a:ext uri="{FF2B5EF4-FFF2-40B4-BE49-F238E27FC236}">
              <a16:creationId xmlns:a16="http://schemas.microsoft.com/office/drawing/2014/main" id="{49C3FB00-9DAB-4EA9-97C3-375C4D9599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61</xdr:col>
      <xdr:colOff>106680</xdr:colOff>
      <xdr:row>4</xdr:row>
      <xdr:rowOff>83820</xdr:rowOff>
    </xdr:from>
    <xdr:to>
      <xdr:col>77</xdr:col>
      <xdr:colOff>358140</xdr:colOff>
      <xdr:row>21</xdr:row>
      <xdr:rowOff>152400</xdr:rowOff>
    </xdr:to>
    <xdr:graphicFrame macro="">
      <xdr:nvGraphicFramePr>
        <xdr:cNvPr id="5" name="Chart10">
          <a:extLst>
            <a:ext uri="{FF2B5EF4-FFF2-40B4-BE49-F238E27FC236}">
              <a16:creationId xmlns:a16="http://schemas.microsoft.com/office/drawing/2014/main" id="{922DFBA4-F677-4736-BCCE-AF7609E78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100</xdr:col>
      <xdr:colOff>502920</xdr:colOff>
      <xdr:row>4</xdr:row>
      <xdr:rowOff>83820</xdr:rowOff>
    </xdr:from>
    <xdr:to>
      <xdr:col>112</xdr:col>
      <xdr:colOff>556260</xdr:colOff>
      <xdr:row>21</xdr:row>
      <xdr:rowOff>121920</xdr:rowOff>
    </xdr:to>
    <xdr:graphicFrame macro="">
      <xdr:nvGraphicFramePr>
        <xdr:cNvPr id="2" name="Chart 1">
          <a:extLst>
            <a:ext uri="{FF2B5EF4-FFF2-40B4-BE49-F238E27FC236}">
              <a16:creationId xmlns:a16="http://schemas.microsoft.com/office/drawing/2014/main" id="{D18CE078-2826-456C-B9CE-95FF8EAF6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111</xdr:col>
      <xdr:colOff>563156</xdr:colOff>
      <xdr:row>0</xdr:row>
      <xdr:rowOff>131598</xdr:rowOff>
    </xdr:from>
    <xdr:to>
      <xdr:col>112</xdr:col>
      <xdr:colOff>313144</xdr:colOff>
      <xdr:row>2</xdr:row>
      <xdr:rowOff>5563</xdr:rowOff>
    </xdr:to>
    <xdr:pic>
      <xdr:nvPicPr>
        <xdr:cNvPr id="6" name="Graphic 5" descr="Home with solid fill">
          <a:hlinkClick xmlns:r="http://schemas.openxmlformats.org/officeDocument/2006/relationships" r:id="rId4"/>
          <a:extLst>
            <a:ext uri="{FF2B5EF4-FFF2-40B4-BE49-F238E27FC236}">
              <a16:creationId xmlns:a16="http://schemas.microsoft.com/office/drawing/2014/main" id="{D9F61156-8618-1410-D029-2705484290E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228756" y="131598"/>
          <a:ext cx="359588" cy="239725"/>
        </a:xfrm>
        <a:prstGeom prst="rect">
          <a:avLst/>
        </a:prstGeom>
      </xdr:spPr>
    </xdr:pic>
    <xdr:clientData/>
  </xdr:twoCellAnchor>
  <xdr:twoCellAnchor editAs="oneCell">
    <xdr:from>
      <xdr:col>76</xdr:col>
      <xdr:colOff>434340</xdr:colOff>
      <xdr:row>0</xdr:row>
      <xdr:rowOff>38100</xdr:rowOff>
    </xdr:from>
    <xdr:to>
      <xdr:col>77</xdr:col>
      <xdr:colOff>121920</xdr:colOff>
      <xdr:row>1</xdr:row>
      <xdr:rowOff>152400</xdr:rowOff>
    </xdr:to>
    <xdr:pic>
      <xdr:nvPicPr>
        <xdr:cNvPr id="7" name="Graphic 6" descr="Home with solid fill">
          <a:hlinkClick xmlns:r="http://schemas.openxmlformats.org/officeDocument/2006/relationships" r:id="rId4"/>
          <a:extLst>
            <a:ext uri="{FF2B5EF4-FFF2-40B4-BE49-F238E27FC236}">
              <a16:creationId xmlns:a16="http://schemas.microsoft.com/office/drawing/2014/main" id="{C722525E-1FDC-4E38-9682-C0132686233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455140" y="38100"/>
          <a:ext cx="297180" cy="297180"/>
        </a:xfrm>
        <a:prstGeom prst="rect">
          <a:avLst/>
        </a:prstGeom>
      </xdr:spPr>
    </xdr:pic>
    <xdr:clientData/>
  </xdr:twoCellAnchor>
  <xdr:twoCellAnchor editAs="oneCell">
    <xdr:from>
      <xdr:col>1</xdr:col>
      <xdr:colOff>0</xdr:colOff>
      <xdr:row>0</xdr:row>
      <xdr:rowOff>0</xdr:rowOff>
    </xdr:from>
    <xdr:to>
      <xdr:col>1</xdr:col>
      <xdr:colOff>297180</xdr:colOff>
      <xdr:row>1</xdr:row>
      <xdr:rowOff>114300</xdr:rowOff>
    </xdr:to>
    <xdr:pic>
      <xdr:nvPicPr>
        <xdr:cNvPr id="8" name="Graphic 7" descr="Home with solid fill">
          <a:hlinkClick xmlns:r="http://schemas.openxmlformats.org/officeDocument/2006/relationships" r:id="rId4"/>
          <a:extLst>
            <a:ext uri="{FF2B5EF4-FFF2-40B4-BE49-F238E27FC236}">
              <a16:creationId xmlns:a16="http://schemas.microsoft.com/office/drawing/2014/main" id="{87B5D810-E3A6-4085-9184-5A10191B9FD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09600" y="0"/>
          <a:ext cx="297180" cy="2971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MOY DUTTA" refreshedDate="46078.873067939814" backgroundQuery="1" createdVersion="8" refreshedVersion="8" minRefreshableVersion="3" recordCount="0" supportSubquery="1" supportAdvancedDrill="1" xr:uid="{3924EEC0-B441-4F99-A281-634629EB6A87}">
  <cacheSource type="external" connectionId="3"/>
  <cacheFields count="4">
    <cacheField name="[Measures].[Distinct Count of Patient Id]" caption="Distinct Count of Patient Id" numFmtId="0" hierarchy="25" level="32767"/>
    <cacheField name="[Calendar].[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ar].[Date (Month)].[Date (Month)]" caption="Date (Month)" numFmtId="0" hierarchy="1"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2"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2"/>
      </fieldsUsage>
    </cacheHierarchy>
    <cacheHierarchy uniqueName="[Calendar].[Date (Day)]" caption="Date (Day)" attribute="1" defaultMemberUniqueName="[Calendar].[Date (Day)].[All]" allUniqueName="[Calendar].[Date (Day)].[All]" dimensionUniqueName="[Calendar]" displayFolder="" count="2" memberValueDatatype="130" unbalanced="0">
      <fieldsUsage count="2">
        <fieldUsage x="-1"/>
        <fieldUsage x="1"/>
      </fieldsUsage>
    </cacheHierarchy>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2"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ed Status]" caption="Patient Attended Status" attribute="1" defaultMemberUniqueName="[Hospital Emergency Room Data].[Patient Attended Status].[All]" allUniqueName="[Hospital Emergency Room Data].[Patient Attended Status].[All]" dimensionUniqueName="[Hospital Emergency Room Data]" displayFolder="" count="2" memberValueDatatype="130" unbalanced="0"/>
    <cacheHierarchy uniqueName="[Calendar].[Date (Day Index)]" caption="Date (Day Index)" attribute="1" defaultMemberUniqueName="[Calendar].[Date (Day Index)].[All]" allUniqueName="[Calendar].[Date (Day Index)].[All]" dimensionUniqueName="[Calendar]" displayFolder="" count="2" memberValueDatatype="5" unbalanced="0" hidden="1"/>
    <cacheHierarchy uniqueName="[Calendar].[Date (Month Index)]" caption="Date (Month Index)" attribute="1" defaultMemberUniqueName="[Calendar].[Date (Month Index)].[All]" allUniqueName="[Calendar].[Date (Month Index)].[All]" dimensionUniqueName="[Calendar]"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MOY DUTTA" refreshedDate="46078.873068055553" backgroundQuery="1" createdVersion="8" refreshedVersion="8" minRefreshableVersion="3" recordCount="0" supportSubquery="1" supportAdvancedDrill="1" xr:uid="{FAA3F0E5-4899-4EC7-9813-66446D115F60}">
  <cacheSource type="external" connectionId="3"/>
  <cacheFields count="3">
    <cacheField name="[Measures].[Distinct Count of Patient Id]" caption="Distinct Count of Patient Id" numFmtId="0" hierarchy="25" level="32767"/>
    <cacheField name="[Calendar].[Date (Month)].[Date (Month)]" caption="Date (Month)" numFmtId="0" hierarchy="1"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d Status]" caption="Patient Attended Status" attribute="1" defaultMemberUniqueName="[Hospital Emergency Room Data].[Patient Attended Status].[All]" allUniqueName="[Hospital Emergency Room Data].[Patient Attende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MOY DUTTA" refreshedDate="46078.873068171299" backgroundQuery="1" createdVersion="8" refreshedVersion="8" minRefreshableVersion="3" recordCount="0" supportSubquery="1" supportAdvancedDrill="1" xr:uid="{BEECD562-1D05-43AE-999B-A667C93A389E}">
  <cacheSource type="external" connectionId="3"/>
  <cacheFields count="3">
    <cacheField name="[Measures].[Average of Patient Waittime]" caption="Average of Patient Waittime" numFmtId="0" hierarchy="27" level="32767"/>
    <cacheField name="[Calendar].[Date (Month)].[Date (Month)]" caption="Date (Month)" numFmtId="0" hierarchy="1"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d Status]" caption="Patient Attended Status" attribute="1" defaultMemberUniqueName="[Hospital Emergency Room Data].[Patient Attended Status].[All]" allUniqueName="[Hospital Emergency Room Data].[Patient Attende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MOY DUTTA" refreshedDate="46078.873068402776" backgroundQuery="1" createdVersion="8" refreshedVersion="8" minRefreshableVersion="3" recordCount="0" supportSubquery="1" supportAdvancedDrill="1" xr:uid="{5880F7D4-32BE-4D10-9031-66DBE07AC699}">
  <cacheSource type="external" connectionId="3"/>
  <cacheFields count="3">
    <cacheField name="[Measures].[Average of Patient Satisfaction Score]" caption="Average of Patient Satisfaction Score" numFmtId="0" hierarchy="29" level="32767"/>
    <cacheField name="[Calendar].[Date (Month)].[Date (Month)]" caption="Date (Month)" numFmtId="0" hierarchy="1" level="1">
      <sharedItems containsSemiMixedTypes="0" containsNonDate="0" containsString="0"/>
    </cacheField>
    <cacheField name="[Calendar].[Date (Year)].[Date (Year)]" caption="Date (Year)" numFmtId="0" hierarchy="3"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d Status]" caption="Patient Attended Status" attribute="1" defaultMemberUniqueName="[Hospital Emergency Room Data].[Patient Attended Status].[All]" allUniqueName="[Hospital Emergency Room Data].[Patient Attende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MOY DUTTA" refreshedDate="46078.873068634261" backgroundQuery="1" createdVersion="8" refreshedVersion="8" minRefreshableVersion="3" recordCount="0" supportSubquery="1" supportAdvancedDrill="1" xr:uid="{64F192C5-72D0-4FB1-95D2-8301500D8150}">
  <cacheSource type="external" connectionId="3"/>
  <cacheFields count="4">
    <cacheField name="[Calendar].[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ar].[Date (Month)].[Date (Month)]" caption="Date (Month)" numFmtId="0" hierarchy="1" level="1">
      <sharedItems containsSemiMixedTypes="0" containsNonDate="0" containsString="0"/>
    </cacheField>
    <cacheField name="[Measures].[Average of Patient Waittime]" caption="Average of Patient Waittime" numFmtId="0" hierarchy="27" level="32767"/>
    <cacheField name="[Calendar].[Date (Year)].[Date (Year)]" caption="Date (Year)" numFmtId="0" hierarchy="3"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2" memberValueDatatype="130" unbalanced="0">
      <fieldsUsage count="2">
        <fieldUsage x="-1"/>
        <fieldUsage x="0"/>
      </fieldsUsage>
    </cacheHierarchy>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d Status]" caption="Patient Attended Status" attribute="1" defaultMemberUniqueName="[Hospital Emergency Room Data].[Patient Attended Status].[All]" allUniqueName="[Hospital Emergency Room Data].[Patient Attende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MOY DUTTA" refreshedDate="46078.873069097222" backgroundQuery="1" createdVersion="8" refreshedVersion="8" minRefreshableVersion="3" recordCount="0" supportSubquery="1" supportAdvancedDrill="1" xr:uid="{BCE7A864-60A1-4D9D-96C2-C42B9B360FA2}">
  <cacheSource type="external" connectionId="3"/>
  <cacheFields count="4">
    <cacheField name="[Calendar].[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ar].[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 name="[Calendar].[Date (Year)].[Date (Year)]" caption="Date (Year)" numFmtId="0" hierarchy="3"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Day)]" caption="Date (Day)" attribute="1" defaultMemberUniqueName="[Calendar].[Date (Day)].[All]" allUniqueName="[Calendar].[Date (Day)].[All]" dimensionUniqueName="[Calendar]" displayFolder="" count="2" memberValueDatatype="130" unbalanced="0">
      <fieldsUsage count="2">
        <fieldUsage x="-1"/>
        <fieldUsage x="0"/>
      </fieldsUsage>
    </cacheHierarchy>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d Status]" caption="Patient Attended Status" attribute="1" defaultMemberUniqueName="[Hospital Emergency Room Data].[Patient Attended Status].[All]" allUniqueName="[Hospital Emergency Room Data].[Patient Attende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MOY DUTTA" refreshedDate="46078.873069328707" backgroundQuery="1" createdVersion="8" refreshedVersion="8" minRefreshableVersion="3" recordCount="0" supportSubquery="1" supportAdvancedDrill="1" xr:uid="{F4C06312-77F5-4145-A375-05A7316A185F}">
  <cacheSource type="external" connectionId="3"/>
  <cacheFields count="5">
    <cacheField name="[Calendar].[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ar].[Date (Year)].[Date (Year)]" caption="Date (Year)" numFmtId="0" hierarchy="3" level="1">
      <sharedItems containsSemiMixedTypes="0" containsNonDate="0" containsString="0"/>
    </cacheField>
    <cacheField name="Unsupported0" numFmtId="0" hierarchy="32" level="32767">
      <extLst>
        <ext xmlns:x14="http://schemas.microsoft.com/office/spreadsheetml/2009/9/main" uri="{63CAB8AC-B538-458d-9737-405883B0398D}">
          <x14:cacheField ignore="1"/>
        </ext>
      </extLst>
    </cacheField>
  </cacheFields>
  <cacheHierarchies count="33">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d Status]" caption="Patient Attended Status" attribute="1" defaultMemberUniqueName="[Hospital Emergency Room Data].[Patient Attended Status].[All]" allUniqueName="[Hospital Emergency Room Data].[Patient Attende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MOY DUTTA" refreshedDate="46078.873069675923" backgroundQuery="1" createdVersion="8" refreshedVersion="8" minRefreshableVersion="3" recordCount="0" supportSubquery="1" supportAdvancedDrill="1" xr:uid="{5A307C93-EE90-4FAF-86A6-675C963D15A6}">
  <cacheSource type="external" connectionId="3"/>
  <cacheFields count="4">
    <cacheField name="[Calendar].[Date (Month)].[Date (Month)]" caption="Date (Month)" numFmtId="0" hierarchy="1" level="1">
      <sharedItems containsSemiMixedTypes="0" containsNonDate="0" containsString="0"/>
    </cacheField>
    <cacheField name="[Hospital Emergency Room Data].[Age Group].[Age Group]" caption="Age Group" numFmtId="0" hierarchy="17" level="1">
      <sharedItems count="8">
        <s v="0-9"/>
        <s v="10-19"/>
        <s v="20-29"/>
        <s v="30-39"/>
        <s v="40-49"/>
        <s v="50-59"/>
        <s v="60-69"/>
        <s v="70-79"/>
      </sharedItems>
    </cacheField>
    <cacheField name="[Measures].[Count of Age Group]" caption="Count of Age Group" numFmtId="0" hierarchy="31" level="32767"/>
    <cacheField name="[Calendar].[Date (Year)].[Date (Year)]" caption="Date (Year)" numFmtId="0" hierarchy="3"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ed Status]" caption="Patient Attended Status" attribute="1" defaultMemberUniqueName="[Hospital Emergency Room Data].[Patient Attended Status].[All]" allUniqueName="[Hospital Emergency Room Data].[Patient Attende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MOY DUTTA" refreshedDate="46078.873070138892" backgroundQuery="1" createdVersion="8" refreshedVersion="8" minRefreshableVersion="3" recordCount="0" supportSubquery="1" supportAdvancedDrill="1" xr:uid="{F7CBCA69-AFAC-4EF8-8653-94C2BF8E4682}">
  <cacheSource type="external" connectionId="3"/>
  <cacheFields count="4">
    <cacheField name="[Calendar].[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ttended Status].[Patient Attended Status]" caption="Patient Attended Status" numFmtId="0" hierarchy="18" level="1">
      <sharedItems count="2">
        <s v="Delayed"/>
        <s v="On Time"/>
      </sharedItems>
    </cacheField>
    <cacheField name="[Calendar].[Date (Year)].[Date (Year)]" caption="Date (Year)" numFmtId="0" hierarchy="3"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d Status]" caption="Patient Attended Status" attribute="1" defaultMemberUniqueName="[Hospital Emergency Room Data].[Patient Attended Status].[All]" allUniqueName="[Hospital Emergency Room Data].[Patient Attended Status].[All]" dimensionUniqueName="[Hospital Emergency Room Data]" displayFolder="" count="2" memberValueDatatype="130" unbalanced="0">
      <fieldsUsage count="2">
        <fieldUsage x="-1"/>
        <fieldUsage x="2"/>
      </fieldsUsage>
    </cacheHierarchy>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MOY DUTTA" refreshedDate="46078.873070486108" backgroundQuery="1" createdVersion="8" refreshedVersion="8" minRefreshableVersion="3" recordCount="0" supportSubquery="1" supportAdvancedDrill="1" xr:uid="{3BAF7FE6-73A9-4DEE-B306-76F86854610B}">
  <cacheSource type="external" connectionId="3"/>
  <cacheFields count="4">
    <cacheField name="[Calendar].[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Gender].[Patient Gender]" caption="Patient Gender" numFmtId="0" hierarchy="9" level="1">
      <sharedItems count="2">
        <s v="Female"/>
        <s v="Male"/>
      </sharedItems>
    </cacheField>
    <cacheField name="[Calendar].[Date (Year)].[Date (Year)]" caption="Date (Year)" numFmtId="0" hierarchy="3"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d Status]" caption="Patient Attended Status" attribute="1" defaultMemberUniqueName="[Hospital Emergency Room Data].[Patient Attended Status].[All]" allUniqueName="[Hospital Emergency Room Data].[Patient Attende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MOY DUTTA" refreshedDate="46078.873070833331" backgroundQuery="1" createdVersion="8" refreshedVersion="8" minRefreshableVersion="3" recordCount="0" supportSubquery="1" supportAdvancedDrill="1" xr:uid="{3432A03B-68C9-4CE7-BA60-3AAAEB01478B}">
  <cacheSource type="external" connectionId="3"/>
  <cacheFields count="5">
    <cacheField name="[Calendar].[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Race].[Patient Race]" caption="Patient Race" numFmtId="0" hierarchy="11" level="1">
      <sharedItems count="7">
        <s v="African American"/>
        <s v="Asian"/>
        <s v="Declined to Identify"/>
        <s v="Native American/Alaska Native"/>
        <s v="Pacific Islander"/>
        <s v="Two or More Races"/>
        <s v="White"/>
      </sharedItems>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ar].[Date (Year)].[Date (Year)]" caption="Date (Year)" numFmtId="0" hierarchy="3" level="1">
      <sharedItems containsSemiMixedTypes="0" containsNonDate="0" containsString="0"/>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4"/>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fieldsUsage count="2">
        <fieldUsage x="-1"/>
        <fieldUsage x="2"/>
      </fieldsUsage>
    </cacheHierarchy>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3"/>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d Status]" caption="Patient Attended Status" attribute="1" defaultMemberUniqueName="[Hospital Emergency Room Data].[Patient Attended Status].[All]" allUniqueName="[Hospital Emergency Room Data].[Patient Attende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MOY DUTTA" refreshedDate="46078.873071296293" backgroundQuery="1" createdVersion="8" refreshedVersion="8" minRefreshableVersion="3" recordCount="0" supportSubquery="1" supportAdvancedDrill="1" xr:uid="{747C93D2-E478-47A8-B3A0-FA3A61F5FDBC}">
  <cacheSource type="external" connectionId="3"/>
  <cacheFields count="2">
    <cacheField name="[Calendar].[Date (Month)].[Date (Month)]" caption="Date (Month)" numFmtId="0" hierarchy="1" level="1">
      <sharedItems containsSemiMixedTypes="0" containsNonDate="0" containsString="0"/>
    </cacheField>
    <cacheField name="[Calendar].[Date (Year)].[Date (Year)]" caption="Date (Year)" numFmtId="0" hierarchy="3" level="1">
      <sharedItems count="1">
        <s v="2024"/>
      </sharedItems>
    </cacheField>
  </cacheFields>
  <cacheHierarchies count="32">
    <cacheHierarchy uniqueName="[Calendar].[Date]" caption="Date" attribute="1" time="1" defaultMemberUniqueName="[Calendar].[Date].[All]" allUniqueName="[Calendar].[Date].[All]" dimensionUniqueName="[Calendar]" displayFolder="" count="2" memberValueDatatype="7"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1"/>
      </fieldsUsage>
    </cacheHierarchy>
    <cacheHierarchy uniqueName="[Calendar].[Date (Quarter)]" caption="Date (Quarter)" attribute="1" defaultMemberUniqueName="[Calendar].[Date (Quarter)].[All]" allUniqueName="[Calendar].[Date (Quarter)].[All]" dimensionUniqueName="[Calendar]"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d Status]" caption="Patient Attended Status" attribute="1" defaultMemberUniqueName="[Hospital Emergency Room Data].[Patient Attended Status].[All]" allUniqueName="[Hospital Emergency Room Data].[Patient Attende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MOY DUTTA" refreshedDate="46078.870815509261" backgroundQuery="1" createdVersion="3" refreshedVersion="8" minRefreshableVersion="3" recordCount="0" supportSubquery="1" supportAdvancedDrill="1" xr:uid="{E8B7C2D8-AE9C-4F8F-8737-67D84939632A}">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Month)]" caption="Date (Month)" attribute="1" defaultMemberUniqueName="[Calendar].[Date (Month)].[All]" allUniqueName="[Calendar].[Date (Month)].[All]" dimensionUniqueName="[Calendar]" displayFolder="" count="2" memberValueDatatype="130" unbalanced="0"/>
    <cacheHierarchy uniqueName="[Calendar].[Date (Day)]" caption="Date (Day)" attribute="1" defaultMemberUniqueName="[Calendar].[Date (Day)].[All]" allUniqueName="[Calendar].[Date (Day)].[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ed Status]" caption="Patient Attended Status" attribute="1" defaultMemberUniqueName="[Hospital Emergency Room Data].[Patient Attended Status].[All]" allUniqueName="[Hospital Emergency Room Data].[Patient Attended Status].[All]" dimensionUniqueName="[Hospital Emergency Room Data]" displayFolder="" count="0" memberValueDatatype="13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88522352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50851D-6AA1-4755-8E56-4B7912D34FEC}" name="PivotTable12" cacheId="700" applyNumberFormats="0" applyBorderFormats="0" applyFontFormats="0" applyPatternFormats="0" applyAlignmentFormats="0" applyWidthHeightFormats="1" dataCaption="Values" tag="eef0b471-d8d3-4957-92f4-37fe5ff45852" updatedVersion="8" minRefreshableVersion="3" subtotalHiddenItems="1" itemPrintTitles="1" createdVersion="8" indent="0" outline="1" outlineData="1" multipleFieldFilters="0" chartFormat="30">
  <location ref="A69:A71" firstHeaderRow="1" firstDataRow="1" firstDataCol="1"/>
  <pivotFields count="2">
    <pivotField allDrilled="1" subtotalTop="0" showAll="0" dataSourceSort="1" defaultSubtotal="0" defaultAttributeDrillState="1"/>
    <pivotField axis="axisRow" allDrilled="1" subtotalTop="0" showAll="0" dataSourceSort="1" defaultSubtotal="0">
      <items count="1">
        <item s="1" x="0" e="0"/>
      </items>
    </pivotField>
  </pivotFields>
  <rowFields count="1">
    <field x="1"/>
  </rowFields>
  <rowItems count="2">
    <i>
      <x/>
    </i>
    <i t="grand">
      <x/>
    </i>
  </rowItems>
  <formats count="4">
    <format dxfId="458">
      <pivotArea type="all" dataOnly="0" outline="0" fieldPosition="0"/>
    </format>
    <format dxfId="459">
      <pivotArea dataOnly="0" labelOnly="1" grandRow="1" outline="0" fieldPosition="0"/>
    </format>
    <format dxfId="460">
      <pivotArea dataOnly="0" labelOnly="1" outline="0" axis="axisValues" fieldPosition="0"/>
    </format>
    <format dxfId="461">
      <pivotArea outline="0" collapsedLevelsAreSubtotals="1" fieldPosition="0"/>
    </format>
  </formats>
  <pivotHierarchies count="32">
    <pivotHierarchy dragToData="1"/>
    <pivotHierarchy multipleItemSelectionAllowed="1" dragToData="1">
      <members count="1" level="1">
        <member name="[Calendar].[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caption="Count"/>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1E030B-778F-4844-AA1A-77D9909561BB}" name="PivotTable11" cacheId="697" applyNumberFormats="0" applyBorderFormats="0" applyFontFormats="0" applyPatternFormats="0" applyAlignmentFormats="0" applyWidthHeightFormats="1" dataCaption="Values" tag="eef0b471-d8d3-4957-92f4-37fe5ff45852" updatedVersion="8" minRefreshableVersion="3" subtotalHiddenItems="1" itemPrintTitles="1" createdVersion="8" indent="0" outline="1" outlineData="1" multipleFieldFilters="0" chartFormat="30">
  <location ref="K63:L72" firstHeaderRow="1" firstDataRow="1" firstDataCol="1"/>
  <pivotFields count="5">
    <pivotField allDrilled="1" subtotalTop="0" showAll="0" dataSourceSort="1" defaultSubtotal="0" defaultAttributeDrillState="1"/>
    <pivotField dataField="1" subtotalTop="0" showAll="0" defaultSubtotal="0"/>
    <pivotField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9">
    <i>
      <x v="7"/>
    </i>
    <i>
      <x v="3"/>
    </i>
    <i>
      <x v="1"/>
    </i>
    <i>
      <x v="6"/>
    </i>
    <i>
      <x/>
    </i>
    <i>
      <x v="5"/>
    </i>
    <i>
      <x v="2"/>
    </i>
    <i>
      <x v="4"/>
    </i>
    <i t="grand">
      <x/>
    </i>
  </rowItems>
  <colItems count="1">
    <i/>
  </colItems>
  <dataFields count="1">
    <dataField name="Count" fld="1" subtotal="count" baseField="0" baseItem="0"/>
  </dataFields>
  <formats count="5">
    <format dxfId="629">
      <pivotArea type="all" dataOnly="0" outline="0" fieldPosition="0"/>
    </format>
    <format dxfId="630">
      <pivotArea dataOnly="0" labelOnly="1" grandRow="1" outline="0" fieldPosition="0"/>
    </format>
    <format dxfId="631">
      <pivotArea dataOnly="0" labelOnly="1" outline="0" axis="axisValues" fieldPosition="0"/>
    </format>
    <format dxfId="632">
      <pivotArea outline="0" collapsedLevelsAreSubtotals="1" fieldPosition="0"/>
    </format>
    <format dxfId="613">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4" format="1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ar].[Date (Month)].&amp;[Mar]"/>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caption="Count"/>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F531FA-7B8C-4531-BA34-207723DCF10E}" name="PivotTable10" cacheId="694" applyNumberFormats="0" applyBorderFormats="0" applyFontFormats="0" applyPatternFormats="0" applyAlignmentFormats="0" applyWidthHeightFormats="1" dataCaption="Values" tag="eef0b471-d8d3-4957-92f4-37fe5ff45852" updatedVersion="8" minRefreshableVersion="3" subtotalHiddenItems="1" itemPrintTitles="1" createdVersion="8" indent="0" outline="1" outlineData="1" multipleFieldFilters="0" chartFormat="25">
  <location ref="D60:E63"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fld="1" subtotal="count" showDataAs="percentOfTotal" baseField="0" baseItem="0" numFmtId="9"/>
  </dataFields>
  <formats count="5">
    <format dxfId="645">
      <pivotArea type="all" dataOnly="0" outline="0" fieldPosition="0"/>
    </format>
    <format dxfId="646">
      <pivotArea dataOnly="0" labelOnly="1" grandRow="1" outline="0" fieldPosition="0"/>
    </format>
    <format dxfId="647">
      <pivotArea dataOnly="0" labelOnly="1" outline="0" axis="axisValues" fieldPosition="0"/>
    </format>
    <format dxfId="640">
      <pivotArea outline="0" fieldPosition="0">
        <references count="1">
          <reference field="4294967294" count="1">
            <x v="0"/>
          </reference>
        </references>
      </pivotArea>
    </format>
    <format dxfId="634">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4" format="10" series="1">
      <pivotArea type="data" outline="0" fieldPosition="0">
        <references count="1">
          <reference field="4294967294" count="1" selected="0">
            <x v="0"/>
          </reference>
        </references>
      </pivotArea>
    </chartFormat>
    <chartFormat chart="24" format="11">
      <pivotArea type="data" outline="0" fieldPosition="0">
        <references count="2">
          <reference field="4294967294" count="1" selected="0">
            <x v="0"/>
          </reference>
          <reference field="2" count="1" selected="0">
            <x v="0"/>
          </reference>
        </references>
      </pivotArea>
    </chartFormat>
    <chartFormat chart="24" format="12">
      <pivotArea type="data" outline="0" fieldPosition="0">
        <references count="2">
          <reference field="4294967294" count="1" selected="0">
            <x v="0"/>
          </reference>
          <reference field="2" count="1" selected="0">
            <x v="1"/>
          </reference>
        </references>
      </pivotArea>
    </chartFormat>
  </chartFormats>
  <pivotHierarchies count="32">
    <pivotHierarchy dragToData="1"/>
    <pivotHierarchy multipleItemSelectionAllowed="1" dragToData="1">
      <members count="1" level="1">
        <member name="[Calendar].[Date (Month)].&amp;[Mar]"/>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caption="Count"/>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AEBEAB-6B82-46A3-A13A-FC44A7EE3BC9}" name="PivotTable9" cacheId="691" applyNumberFormats="0" applyBorderFormats="0" applyFontFormats="0" applyPatternFormats="0" applyAlignmentFormats="0" applyWidthHeightFormats="1" dataCaption="Values" tag="eef0b471-d8d3-4957-92f4-37fe5ff45852" updatedVersion="8" minRefreshableVersion="3" subtotalHiddenItems="1" itemPrintTitles="1" createdVersion="8" indent="0" outline="1" outlineData="1" multipleFieldFilters="0" chartFormat="19">
  <location ref="A60:B63"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fld="1" subtotal="count" showDataAs="percentOfTotal" baseField="0" baseItem="0" numFmtId="9"/>
  </dataFields>
  <formats count="5">
    <format dxfId="650">
      <pivotArea type="all" dataOnly="0" outline="0" fieldPosition="0"/>
    </format>
    <format dxfId="651">
      <pivotArea dataOnly="0" labelOnly="1" grandRow="1" outline="0" fieldPosition="0"/>
    </format>
    <format dxfId="652">
      <pivotArea dataOnly="0" labelOnly="1" outline="0" axis="axisValues" fieldPosition="0"/>
    </format>
    <format dxfId="649">
      <pivotArea outline="0" fieldPosition="0">
        <references count="1">
          <reference field="4294967294" count="1">
            <x v="0"/>
          </reference>
        </references>
      </pivotArea>
    </format>
    <format dxfId="648">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2" count="1" selected="0">
            <x v="0"/>
          </reference>
        </references>
      </pivotArea>
    </chartFormat>
    <chartFormat chart="18" format="6">
      <pivotArea type="data" outline="0" fieldPosition="0">
        <references count="2">
          <reference field="4294967294" count="1" selected="0">
            <x v="0"/>
          </reference>
          <reference field="2" count="1" selected="0">
            <x v="1"/>
          </reference>
        </references>
      </pivotArea>
    </chartFormat>
  </chartFormats>
  <pivotHierarchies count="32">
    <pivotHierarchy dragToData="1"/>
    <pivotHierarchy multipleItemSelectionAllowed="1" dragToData="1">
      <members count="1" level="1">
        <member name="[Calendar].[Date (Month)].&amp;[Mar]"/>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caption="Count"/>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3FD60F-2349-4977-AF85-C84A81F0A437}" name="PivotTable6" cacheId="679" applyNumberFormats="0" applyBorderFormats="0" applyFontFormats="0" applyPatternFormats="0" applyAlignmentFormats="0" applyWidthHeightFormats="1" dataCaption="Values" tag="18482ccc-c64a-4ba7-869b-6d5009fe152f" updatedVersion="8" minRefreshableVersion="3" subtotalHiddenItems="1" itemPrintTitles="1" createdVersion="8" indent="0" outline="1" outlineData="1" multipleFieldFilters="0" chartFormat="30">
  <location ref="G4:H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6">
    <format dxfId="658">
      <pivotArea type="all" dataOnly="0" outline="0" fieldPosition="0"/>
    </format>
    <format dxfId="657">
      <pivotArea outline="0" collapsedLevelsAreSubtotals="1" fieldPosition="0"/>
    </format>
    <format dxfId="656">
      <pivotArea field="0" type="button" dataOnly="0" labelOnly="1" outline="0" axis="axisRow" fieldPosition="0"/>
    </format>
    <format dxfId="655">
      <pivotArea dataOnly="0" labelOnly="1" fieldPosition="0">
        <references count="1">
          <reference field="0" count="0"/>
        </references>
      </pivotArea>
    </format>
    <format dxfId="654">
      <pivotArea dataOnly="0" labelOnly="1" grandRow="1" outline="0" fieldPosition="0"/>
    </format>
    <format dxfId="653">
      <pivotArea dataOnly="0" labelOnly="1" outline="0" axis="axisValues" fieldPosition="0"/>
    </format>
  </formats>
  <chartFormats count="6">
    <chartFormat chart="20"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ar].[Date (Month)].&amp;[Mar]"/>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1264F4-534E-4D97-BD54-72CAA1AB88EA}" name="PivotTable3" cacheId="676" applyNumberFormats="0" applyBorderFormats="0" applyFontFormats="0" applyPatternFormats="0" applyAlignmentFormats="0" applyWidthHeightFormats="1" dataCaption="Values" tag="ef3b0547-6244-454d-b2ed-2a76cca5e751" updatedVersion="8" minRefreshableVersion="3" subtotalHiddenItems="1" itemPrintTitles="1" createdVersion="8"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659">
      <pivotArea outline="0" collapsedLevelsAreSubtotals="1" fieldPosition="0"/>
    </format>
  </formats>
  <pivotHierarchies count="32">
    <pivotHierarchy dragToData="1"/>
    <pivotHierarchy multipleItemSelectionAllowed="1" dragToData="1">
      <members count="1" level="1">
        <member name="[Calendar].[Date (Month)].&amp;[Mar]"/>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F9E3BC-A202-4C03-8786-A339BB4E5517}" name="PivotTable2" cacheId="673" applyNumberFormats="0" applyBorderFormats="0" applyFontFormats="0" applyPatternFormats="0" applyAlignmentFormats="0" applyWidthHeightFormats="1" dataCaption="Values" tag="eef0b471-d8d3-4957-92f4-37fe5ff45852" updatedVersion="8" minRefreshableVersion="3" subtotalHiddenItems="1" itemPrintTitles="1" createdVersion="8"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660">
      <pivotArea outline="0" collapsedLevelsAreSubtotals="1" fieldPosition="0"/>
    </format>
  </formats>
  <pivotHierarchies count="32">
    <pivotHierarchy dragToData="1"/>
    <pivotHierarchy multipleItemSelectionAllowed="1" dragToData="1">
      <members count="1" level="1">
        <member name="[Calendar].[Date (Month)].&amp;[Mar]"/>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BA3A77-7683-4701-8C3A-F013C0B3F33F}" name="PivotTable8" cacheId="688" applyNumberFormats="0" applyBorderFormats="0" applyFontFormats="0" applyPatternFormats="0" applyAlignmentFormats="0" applyWidthHeightFormats="1" dataCaption="Values" tag="eef0b471-d8d3-4957-92f4-37fe5ff45852" updatedVersion="8" minRefreshableVersion="3" subtotalHiddenItems="1" itemPrintTitles="1" createdVersion="8" indent="0" outline="1" outlineData="1" multipleFieldFilters="0" chartFormat="19">
  <location ref="J41:K5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No. of Patients by Age Group" fld="2" subtotal="count" baseField="0" baseItem="0"/>
  </dataFields>
  <formats count="4">
    <format dxfId="664">
      <pivotArea type="all" dataOnly="0" outline="0" fieldPosition="0"/>
    </format>
    <format dxfId="663">
      <pivotArea outline="0" collapsedLevelsAreSubtotals="1" fieldPosition="0"/>
    </format>
    <format dxfId="662">
      <pivotArea dataOnly="0" labelOnly="1" grandRow="1" outline="0" fieldPosition="0"/>
    </format>
    <format dxfId="661">
      <pivotArea dataOnly="0" labelOnly="1" outline="0" axis="axisValues" fieldPosition="0"/>
    </format>
  </formats>
  <chartFormats count="2">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ar].[Date (Month)].&amp;[Mar]"/>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caption="Count"/>
    <pivotHierarchy dragToData="1" caption="No. of Patients by Age Group"/>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414CB5F-8585-4FE2-931E-B0D2738EC756}" name="PivotTable7" cacheId="685" applyNumberFormats="0" applyBorderFormats="0" applyFontFormats="0" applyPatternFormats="0" applyAlignmentFormats="0" applyWidthHeightFormats="1" dataCaption="Values" tag="eef0b471-d8d3-4957-92f4-37fe5ff45852" updatedVersion="8" minRefreshableVersion="3" subtotalHiddenItems="1" itemPrintTitles="1" createdVersion="8" indent="0" outline="1" outlineData="1" multipleFieldFilters="0" chartFormat="14">
  <location ref="A42:C45"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fld="2" subtotal="count" baseField="0" baseItem="0" numFmtId="1"/>
    <dataField name="%"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8">
    <format dxfId="672">
      <pivotArea type="all" dataOnly="0" outline="0" fieldPosition="0"/>
    </format>
    <format dxfId="671">
      <pivotArea outline="0" collapsedLevelsAreSubtotals="1" fieldPosition="0"/>
    </format>
    <format dxfId="670">
      <pivotArea field="1" type="button" dataOnly="0" labelOnly="1" outline="0" axis="axisRow" fieldPosition="0"/>
    </format>
    <format dxfId="669">
      <pivotArea dataOnly="0" labelOnly="1" fieldPosition="0">
        <references count="1">
          <reference field="1" count="0"/>
        </references>
      </pivotArea>
    </format>
    <format dxfId="668">
      <pivotArea dataOnly="0" labelOnly="1" grandRow="1" outline="0" fieldPosition="0"/>
    </format>
    <format dxfId="667">
      <pivotArea dataOnly="0" labelOnly="1" outline="0" axis="axisValues" fieldPosition="0"/>
    </format>
    <format dxfId="666">
      <pivotArea outline="0" fieldPosition="0">
        <references count="1">
          <reference field="4294967294" count="1">
            <x v="1"/>
          </reference>
        </references>
      </pivotArea>
    </format>
    <format dxfId="665">
      <pivotArea collapsedLevelsAreSubtotals="1" fieldPosition="0">
        <references count="2">
          <reference field="4294967294" count="1" selected="0">
            <x v="1"/>
          </reference>
          <reference field="1"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4">
      <pivotArea type="data" outline="0" fieldPosition="0">
        <references count="2">
          <reference field="4294967294" count="1" selected="0">
            <x v="0"/>
          </reference>
          <reference field="1" count="1" selected="0">
            <x v="0"/>
          </reference>
        </references>
      </pivotArea>
    </chartFormat>
    <chartFormat chart="0" format="5">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ar].[Date (Month)].&amp;[Mar]"/>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caption="Count"/>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E5BB0CF-F2CF-4D4F-9D85-ED26AB2B4E6B}" name="PivotTable1" cacheId="670" applyNumberFormats="0" applyBorderFormats="0" applyFontFormats="0" applyPatternFormats="0" applyAlignmentFormats="0" applyWidthHeightFormats="1" dataCaption="Values" tag="f21e4bfd-e0a3-4c7f-875d-d2ddfa7a166f" updatedVersion="8" minRefreshableVersion="3" subtotalHiddenItems="1" itemPrintTitles="1" createdVersion="8"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2">
    <pivotHierarchy dragToData="1"/>
    <pivotHierarchy multipleItemSelectionAllowed="1" dragToData="1">
      <members count="1" level="1">
        <member name="[Calendar].[Date (Month)].&amp;[Mar]"/>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EDA4D77-BDB9-407F-971E-5D9E44FB9441}" name="PivotTable4" cacheId="682" applyNumberFormats="0" applyBorderFormats="0" applyFontFormats="0" applyPatternFormats="0" applyAlignmentFormats="0" applyWidthHeightFormats="1" dataCaption="Values" tag="18482ccc-c64a-4ba7-869b-6d5009fe152f" updatedVersion="8" minRefreshableVersion="3" subtotalHiddenItems="1" itemPrintTitles="1" createdVersion="8" indent="0" outline="1" outlineData="1" multipleFieldFilters="0" chartFormat="40">
  <location ref="J4:K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6">
    <format dxfId="678">
      <pivotArea type="all" dataOnly="0" outline="0" fieldPosition="0"/>
    </format>
    <format dxfId="677">
      <pivotArea outline="0" collapsedLevelsAreSubtotals="1" fieldPosition="0"/>
    </format>
    <format dxfId="676">
      <pivotArea field="0" type="button" dataOnly="0" labelOnly="1" outline="0" axis="axisRow" fieldPosition="0"/>
    </format>
    <format dxfId="675">
      <pivotArea dataOnly="0" labelOnly="1" fieldPosition="0">
        <references count="1">
          <reference field="0" count="0"/>
        </references>
      </pivotArea>
    </format>
    <format dxfId="674">
      <pivotArea dataOnly="0" labelOnly="1" grandRow="1" outline="0" fieldPosition="0"/>
    </format>
    <format dxfId="673">
      <pivotArea dataOnly="0" labelOnly="1" outline="0" axis="axisValues" fieldPosition="0"/>
    </format>
  </formats>
  <chartFormats count="2">
    <chartFormat chart="35" format="3"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ar].[Date (Month)].&amp;[Mar]"/>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68DDC69-DF10-4E34-A29B-37FC4C28BE0C}" name="PivotTable5" cacheId="667" applyNumberFormats="0" applyBorderFormats="0" applyFontFormats="0" applyPatternFormats="0" applyAlignmentFormats="0" applyWidthHeightFormats="1" dataCaption="Values" tag="18482ccc-c64a-4ba7-869b-6d5009fe152f" updatedVersion="8" minRefreshableVersion="3" subtotalHiddenItems="1" itemPrintTitles="1" createdVersion="8" indent="0" outline="1" outlineData="1" multipleFieldFilters="0" chartFormat="20">
  <location ref="D4:E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4"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ar].[Date (Month)].&amp;[Mar]"/>
      </members>
    </pivotHierarchy>
    <pivotHierarchy dragToData="1"/>
    <pivotHierarchy multipleItemSelectionAllowed="1" dragToData="1">
      <members count="1" level="1">
        <member name="[Calenda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AB05D68-552E-4CD6-861E-5F19A9FAC701}" sourceName="[Calendar].[Date (Month)]">
  <pivotTables>
    <pivotTable tabId="1" name="PivotTable5"/>
    <pivotTable tabId="1" name="PivotTable1"/>
    <pivotTable tabId="1" name="PivotTable2"/>
    <pivotTable tabId="1" name="PivotTable3"/>
    <pivotTable tabId="1" name="PivotTable6"/>
    <pivotTable tabId="1" name="PivotTable4"/>
    <pivotTable tabId="1" name="PivotTable7"/>
    <pivotTable tabId="1" name="PivotTable8"/>
    <pivotTable tabId="1" name="PivotTable9"/>
    <pivotTable tabId="1" name="PivotTable10"/>
    <pivotTable tabId="1" name="PivotTable11"/>
    <pivotTable tabId="1" name="PivotTable12"/>
  </pivotTables>
  <data>
    <olap pivotCacheId="885223520">
      <levels count="2">
        <level uniqueName="[Calendar].[Date (Month)].[(All)]" sourceCaption="(All)" count="0"/>
        <level uniqueName="[Calendar].[Date (Month)].[Date (Month)]" sourceCaption="Date (Month)" count="12">
          <ranges>
            <range startItem="0">
              <i n="[Calendar].[Date (Month)].&amp;[Jan]" c="Jan"/>
              <i n="[Calendar].[Date (Month)].&amp;[Feb]" c="Feb"/>
              <i n="[Calendar].[Date (Month)].&amp;[Mar]" c="Mar"/>
              <i n="[Calendar].[Date (Month)].&amp;[Apr]" c="Apr"/>
              <i n="[Calendar].[Date (Month)].&amp;[May]" c="May"/>
              <i n="[Calendar].[Date (Month)].&amp;[Jun]" c="Jun"/>
              <i n="[Calendar].[Date (Month)].&amp;[Jul]" c="Jul"/>
              <i n="[Calendar].[Date (Month)].&amp;[Aug]" c="Aug"/>
              <i n="[Calendar].[Date (Month)].&amp;[Sep]" c="Sep"/>
              <i n="[Calendar].[Date (Month)].&amp;[Oct]" c="Oct"/>
              <i n="[Calendar].[Date (Month)].&amp;[Nov]" c="Nov" nd="1"/>
              <i n="[Calendar].[Date (Month)].&amp;[Dec]" c="Dec" nd="1"/>
            </range>
          </ranges>
        </level>
      </levels>
      <selections count="1">
        <selection n="[Calendar].[Date (Month)].&amp;[Ma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56C0A219-7E12-4416-888B-33662098DC28}" sourceName="[Calendar].[Date (Year)]">
  <pivotTables>
    <pivotTable tabId="1" name="PivotTable5"/>
    <pivotTable tabId="1" name="PivotTable1"/>
    <pivotTable tabId="1" name="PivotTable10"/>
    <pivotTable tabId="1" name="PivotTable11"/>
    <pivotTable tabId="1" name="PivotTable12"/>
    <pivotTable tabId="1" name="PivotTable2"/>
    <pivotTable tabId="1" name="PivotTable3"/>
    <pivotTable tabId="1" name="PivotTable4"/>
    <pivotTable tabId="1" name="PivotTable6"/>
    <pivotTable tabId="1" name="PivotTable7"/>
    <pivotTable tabId="1" name="PivotTable8"/>
    <pivotTable tabId="1" name="PivotTable9"/>
  </pivotTables>
  <data>
    <olap pivotCacheId="885223520">
      <levels count="2">
        <level uniqueName="[Calendar].[Date (Year)].[(All)]" sourceCaption="(All)" count="0"/>
        <level uniqueName="[Calendar].[Date (Year)].[Date (Year)]" sourceCaption="Date (Year)" count="2">
          <ranges>
            <range startItem="0">
              <i n="[Calendar].[Date (Year)].&amp;[2024]" c="2024"/>
              <i n="[Calendar].[Date (Year)].&amp;[2023]" c="2023" nd="1"/>
            </range>
          </ranges>
        </level>
      </levels>
      <selections count="1">
        <selection n="[Calendar].[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E170EA66-2669-4EF1-BAF8-CD4AB65BA506}" cache="Slicer_Date__Month" caption="Date (Month)" showCaption="0" level="1" style="My Style 2" rowHeight="288000"/>
  <slicer name="Date (Year)" xr10:uid="{FD737379-59F7-497F-80B1-F60D5AC41008}" cache="Slicer_Date__Year" caption="Date (Year)" columnCount="2" showCaption="0" level="1" style="My Style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0FDFA-1E8B-4D3B-8458-4C0C21AEAA0F}">
  <dimension ref="A3:L72"/>
  <sheetViews>
    <sheetView workbookViewId="0">
      <selection activeCell="D6" sqref="D6:E6"/>
    </sheetView>
  </sheetViews>
  <sheetFormatPr defaultRowHeight="14.4" x14ac:dyDescent="0.3"/>
  <cols>
    <col min="1" max="1" width="15.33203125" customWidth="1"/>
    <col min="2" max="2" width="12.6640625" bestFit="1" customWidth="1"/>
    <col min="3" max="3" width="10.33203125" bestFit="1" customWidth="1"/>
    <col min="4" max="4" width="12.5546875" bestFit="1" customWidth="1"/>
    <col min="11" max="11" width="32.44140625" bestFit="1" customWidth="1"/>
  </cols>
  <sheetData>
    <row r="3" spans="1:11" x14ac:dyDescent="0.3">
      <c r="A3" t="s">
        <v>1</v>
      </c>
    </row>
    <row r="4" spans="1:11" x14ac:dyDescent="0.3">
      <c r="A4" t="s">
        <v>0</v>
      </c>
      <c r="D4" s="1" t="s">
        <v>4</v>
      </c>
      <c r="E4" t="s">
        <v>0</v>
      </c>
      <c r="G4" s="5" t="s">
        <v>4</v>
      </c>
      <c r="H4" s="2" t="s">
        <v>2</v>
      </c>
      <c r="J4" s="5" t="s">
        <v>4</v>
      </c>
      <c r="K4" s="2" t="s">
        <v>3</v>
      </c>
    </row>
    <row r="5" spans="1:11" x14ac:dyDescent="0.3">
      <c r="A5" s="18">
        <v>506</v>
      </c>
      <c r="D5" s="4" t="s">
        <v>22</v>
      </c>
      <c r="E5" s="18">
        <v>19</v>
      </c>
      <c r="G5" s="6" t="s">
        <v>22</v>
      </c>
      <c r="H5" s="2">
        <v>34.526315789473685</v>
      </c>
      <c r="J5" s="6" t="s">
        <v>22</v>
      </c>
      <c r="K5" s="2">
        <v>7.2</v>
      </c>
    </row>
    <row r="6" spans="1:11" x14ac:dyDescent="0.3">
      <c r="D6" s="4" t="s">
        <v>23</v>
      </c>
      <c r="E6" s="18">
        <v>24</v>
      </c>
      <c r="G6" s="6" t="s">
        <v>23</v>
      </c>
      <c r="H6" s="2">
        <v>33.708333333333336</v>
      </c>
      <c r="J6" s="6" t="s">
        <v>23</v>
      </c>
      <c r="K6" s="2">
        <v>6</v>
      </c>
    </row>
    <row r="7" spans="1:11" x14ac:dyDescent="0.3">
      <c r="A7" t="s">
        <v>3</v>
      </c>
      <c r="D7" s="4" t="s">
        <v>24</v>
      </c>
      <c r="E7" s="18">
        <v>24</v>
      </c>
      <c r="G7" s="6" t="s">
        <v>24</v>
      </c>
      <c r="H7" s="2">
        <v>36.291666666666664</v>
      </c>
      <c r="J7" s="6" t="s">
        <v>24</v>
      </c>
      <c r="K7" s="2">
        <v>1.5</v>
      </c>
    </row>
    <row r="8" spans="1:11" x14ac:dyDescent="0.3">
      <c r="A8" s="2">
        <v>5.3277310924369745</v>
      </c>
      <c r="D8" s="4" t="s">
        <v>25</v>
      </c>
      <c r="E8" s="18">
        <v>14</v>
      </c>
      <c r="G8" s="6" t="s">
        <v>25</v>
      </c>
      <c r="H8" s="2">
        <v>35.071428571428569</v>
      </c>
      <c r="J8" s="6" t="s">
        <v>25</v>
      </c>
      <c r="K8" s="2">
        <v>2.75</v>
      </c>
    </row>
    <row r="9" spans="1:11" x14ac:dyDescent="0.3">
      <c r="D9" s="4" t="s">
        <v>26</v>
      </c>
      <c r="E9" s="18">
        <v>14</v>
      </c>
      <c r="G9" s="6" t="s">
        <v>26</v>
      </c>
      <c r="H9" s="2">
        <v>31.571428571428573</v>
      </c>
      <c r="J9" s="6" t="s">
        <v>26</v>
      </c>
      <c r="K9" s="2">
        <v>5</v>
      </c>
    </row>
    <row r="10" spans="1:11" x14ac:dyDescent="0.3">
      <c r="D10" s="4" t="s">
        <v>27</v>
      </c>
      <c r="E10" s="18">
        <v>16</v>
      </c>
      <c r="G10" s="6" t="s">
        <v>27</v>
      </c>
      <c r="H10" s="2">
        <v>31.8125</v>
      </c>
      <c r="J10" s="6" t="s">
        <v>27</v>
      </c>
      <c r="K10" s="2">
        <v>5.5</v>
      </c>
    </row>
    <row r="11" spans="1:11" x14ac:dyDescent="0.3">
      <c r="A11" t="s">
        <v>2</v>
      </c>
      <c r="D11" s="4" t="s">
        <v>28</v>
      </c>
      <c r="E11" s="18">
        <v>26</v>
      </c>
      <c r="G11" s="6" t="s">
        <v>28</v>
      </c>
      <c r="H11" s="2">
        <v>36.846153846153847</v>
      </c>
      <c r="J11" s="6" t="s">
        <v>28</v>
      </c>
      <c r="K11" s="2">
        <v>5.0909090909090908</v>
      </c>
    </row>
    <row r="12" spans="1:11" x14ac:dyDescent="0.3">
      <c r="A12" s="2">
        <v>35.879446640316203</v>
      </c>
      <c r="D12" s="4" t="s">
        <v>29</v>
      </c>
      <c r="E12" s="18">
        <v>14</v>
      </c>
      <c r="G12" s="6" t="s">
        <v>29</v>
      </c>
      <c r="H12" s="2">
        <v>34.071428571428569</v>
      </c>
      <c r="J12" s="6" t="s">
        <v>29</v>
      </c>
      <c r="K12" s="2">
        <v>7.666666666666667</v>
      </c>
    </row>
    <row r="13" spans="1:11" x14ac:dyDescent="0.3">
      <c r="D13" s="4" t="s">
        <v>30</v>
      </c>
      <c r="E13" s="18">
        <v>22</v>
      </c>
      <c r="G13" s="6" t="s">
        <v>30</v>
      </c>
      <c r="H13" s="2">
        <v>33</v>
      </c>
      <c r="J13" s="6" t="s">
        <v>30</v>
      </c>
      <c r="K13" s="2">
        <v>3.5</v>
      </c>
    </row>
    <row r="14" spans="1:11" x14ac:dyDescent="0.3">
      <c r="D14" s="4" t="s">
        <v>31</v>
      </c>
      <c r="E14" s="18">
        <v>18</v>
      </c>
      <c r="G14" s="6" t="s">
        <v>31</v>
      </c>
      <c r="H14" s="2">
        <v>40.222222222222221</v>
      </c>
      <c r="J14" s="6" t="s">
        <v>31</v>
      </c>
      <c r="K14" s="2">
        <v>3.6666666666666665</v>
      </c>
    </row>
    <row r="15" spans="1:11" x14ac:dyDescent="0.3">
      <c r="D15" s="4" t="s">
        <v>32</v>
      </c>
      <c r="E15" s="18">
        <v>20</v>
      </c>
      <c r="G15" s="6" t="s">
        <v>32</v>
      </c>
      <c r="H15" s="2">
        <v>42.05</v>
      </c>
      <c r="J15" s="6" t="s">
        <v>32</v>
      </c>
      <c r="K15" s="2">
        <v>3.8</v>
      </c>
    </row>
    <row r="16" spans="1:11" x14ac:dyDescent="0.3">
      <c r="D16" s="4" t="s">
        <v>33</v>
      </c>
      <c r="E16" s="18">
        <v>13</v>
      </c>
      <c r="G16" s="6" t="s">
        <v>33</v>
      </c>
      <c r="H16" s="2">
        <v>42.615384615384613</v>
      </c>
      <c r="J16" s="6" t="s">
        <v>33</v>
      </c>
      <c r="K16" s="2">
        <v>1</v>
      </c>
    </row>
    <row r="17" spans="4:11" x14ac:dyDescent="0.3">
      <c r="D17" s="4" t="s">
        <v>34</v>
      </c>
      <c r="E17" s="18">
        <v>13</v>
      </c>
      <c r="G17" s="6" t="s">
        <v>34</v>
      </c>
      <c r="H17" s="2">
        <v>40.46153846153846</v>
      </c>
      <c r="J17" s="6" t="s">
        <v>34</v>
      </c>
      <c r="K17" s="2">
        <v>7</v>
      </c>
    </row>
    <row r="18" spans="4:11" x14ac:dyDescent="0.3">
      <c r="D18" s="4" t="s">
        <v>35</v>
      </c>
      <c r="E18" s="18">
        <v>14</v>
      </c>
      <c r="G18" s="6" t="s">
        <v>35</v>
      </c>
      <c r="H18" s="2">
        <v>34.071428571428569</v>
      </c>
      <c r="J18" s="6" t="s">
        <v>35</v>
      </c>
      <c r="K18" s="2">
        <v>5</v>
      </c>
    </row>
    <row r="19" spans="4:11" x14ac:dyDescent="0.3">
      <c r="D19" s="4" t="s">
        <v>36</v>
      </c>
      <c r="E19" s="18">
        <v>13</v>
      </c>
      <c r="G19" s="6" t="s">
        <v>36</v>
      </c>
      <c r="H19" s="2">
        <v>33.92307692307692</v>
      </c>
      <c r="J19" s="6" t="s">
        <v>36</v>
      </c>
      <c r="K19" s="2">
        <v>4.25</v>
      </c>
    </row>
    <row r="20" spans="4:11" x14ac:dyDescent="0.3">
      <c r="D20" s="4" t="s">
        <v>37</v>
      </c>
      <c r="E20" s="18">
        <v>18</v>
      </c>
      <c r="G20" s="6" t="s">
        <v>37</v>
      </c>
      <c r="H20" s="2">
        <v>43.166666666666664</v>
      </c>
      <c r="J20" s="6" t="s">
        <v>37</v>
      </c>
      <c r="K20" s="2">
        <v>4</v>
      </c>
    </row>
    <row r="21" spans="4:11" x14ac:dyDescent="0.3">
      <c r="D21" s="4" t="s">
        <v>38</v>
      </c>
      <c r="E21" s="18">
        <v>12</v>
      </c>
      <c r="G21" s="6" t="s">
        <v>38</v>
      </c>
      <c r="H21" s="2">
        <v>42.25</v>
      </c>
      <c r="J21" s="6" t="s">
        <v>38</v>
      </c>
      <c r="K21" s="2">
        <v>7.333333333333333</v>
      </c>
    </row>
    <row r="22" spans="4:11" x14ac:dyDescent="0.3">
      <c r="D22" s="4" t="s">
        <v>39</v>
      </c>
      <c r="E22" s="18">
        <v>11</v>
      </c>
      <c r="G22" s="6" t="s">
        <v>39</v>
      </c>
      <c r="H22" s="2">
        <v>44.090909090909093</v>
      </c>
      <c r="J22" s="6" t="s">
        <v>39</v>
      </c>
      <c r="K22" s="2">
        <v>9</v>
      </c>
    </row>
    <row r="23" spans="4:11" x14ac:dyDescent="0.3">
      <c r="D23" s="4" t="s">
        <v>40</v>
      </c>
      <c r="E23" s="18">
        <v>14</v>
      </c>
      <c r="G23" s="6" t="s">
        <v>40</v>
      </c>
      <c r="H23" s="2">
        <v>39</v>
      </c>
      <c r="J23" s="6" t="s">
        <v>40</v>
      </c>
      <c r="K23" s="2">
        <v>5.25</v>
      </c>
    </row>
    <row r="24" spans="4:11" x14ac:dyDescent="0.3">
      <c r="D24" s="4" t="s">
        <v>41</v>
      </c>
      <c r="E24" s="18">
        <v>12</v>
      </c>
      <c r="G24" s="6" t="s">
        <v>41</v>
      </c>
      <c r="H24" s="2">
        <v>31.25</v>
      </c>
      <c r="J24" s="6" t="s">
        <v>41</v>
      </c>
      <c r="K24" s="2">
        <v>6.6</v>
      </c>
    </row>
    <row r="25" spans="4:11" x14ac:dyDescent="0.3">
      <c r="D25" s="4" t="s">
        <v>42</v>
      </c>
      <c r="E25" s="18">
        <v>16</v>
      </c>
      <c r="G25" s="6" t="s">
        <v>42</v>
      </c>
      <c r="H25" s="2">
        <v>28.5</v>
      </c>
      <c r="J25" s="6" t="s">
        <v>42</v>
      </c>
      <c r="K25" s="2">
        <v>6.25</v>
      </c>
    </row>
    <row r="26" spans="4:11" x14ac:dyDescent="0.3">
      <c r="D26" s="4" t="s">
        <v>43</v>
      </c>
      <c r="E26" s="18">
        <v>16</v>
      </c>
      <c r="G26" s="6" t="s">
        <v>43</v>
      </c>
      <c r="H26" s="2">
        <v>34.0625</v>
      </c>
      <c r="J26" s="6" t="s">
        <v>43</v>
      </c>
      <c r="K26" s="2">
        <v>6.333333333333333</v>
      </c>
    </row>
    <row r="27" spans="4:11" x14ac:dyDescent="0.3">
      <c r="D27" s="4" t="s">
        <v>44</v>
      </c>
      <c r="E27" s="18">
        <v>15</v>
      </c>
      <c r="G27" s="6" t="s">
        <v>44</v>
      </c>
      <c r="H27" s="2">
        <v>25.2</v>
      </c>
      <c r="J27" s="6" t="s">
        <v>44</v>
      </c>
      <c r="K27" s="2">
        <v>7</v>
      </c>
    </row>
    <row r="28" spans="4:11" x14ac:dyDescent="0.3">
      <c r="D28" s="4" t="s">
        <v>45</v>
      </c>
      <c r="E28" s="18">
        <v>22</v>
      </c>
      <c r="G28" s="6" t="s">
        <v>45</v>
      </c>
      <c r="H28" s="2">
        <v>35.863636363636367</v>
      </c>
      <c r="J28" s="6" t="s">
        <v>45</v>
      </c>
      <c r="K28" s="2">
        <v>5.666666666666667</v>
      </c>
    </row>
    <row r="29" spans="4:11" x14ac:dyDescent="0.3">
      <c r="D29" s="4" t="s">
        <v>46</v>
      </c>
      <c r="E29" s="18">
        <v>18</v>
      </c>
      <c r="G29" s="6" t="s">
        <v>46</v>
      </c>
      <c r="H29" s="2">
        <v>39.833333333333336</v>
      </c>
      <c r="J29" s="6" t="s">
        <v>46</v>
      </c>
      <c r="K29" s="2">
        <v>3.3333333333333335</v>
      </c>
    </row>
    <row r="30" spans="4:11" x14ac:dyDescent="0.3">
      <c r="D30" s="4" t="s">
        <v>47</v>
      </c>
      <c r="E30" s="18">
        <v>10</v>
      </c>
      <c r="G30" s="6" t="s">
        <v>47</v>
      </c>
      <c r="H30" s="2">
        <v>37</v>
      </c>
      <c r="J30" s="6" t="s">
        <v>47</v>
      </c>
      <c r="K30" s="2">
        <v>4.75</v>
      </c>
    </row>
    <row r="31" spans="4:11" x14ac:dyDescent="0.3">
      <c r="D31" s="4" t="s">
        <v>48</v>
      </c>
      <c r="E31" s="18">
        <v>17</v>
      </c>
      <c r="G31" s="6" t="s">
        <v>48</v>
      </c>
      <c r="H31" s="2">
        <v>39.411764705882355</v>
      </c>
      <c r="J31" s="6" t="s">
        <v>48</v>
      </c>
      <c r="K31" s="2">
        <v>2</v>
      </c>
    </row>
    <row r="32" spans="4:11" x14ac:dyDescent="0.3">
      <c r="D32" s="4" t="s">
        <v>49</v>
      </c>
      <c r="E32" s="18">
        <v>17</v>
      </c>
      <c r="G32" s="6" t="s">
        <v>49</v>
      </c>
      <c r="H32" s="2">
        <v>30.294117647058822</v>
      </c>
      <c r="J32" s="6" t="s">
        <v>49</v>
      </c>
      <c r="K32" s="2">
        <v>9.25</v>
      </c>
    </row>
    <row r="33" spans="1:11" x14ac:dyDescent="0.3">
      <c r="D33" s="4" t="s">
        <v>50</v>
      </c>
      <c r="E33" s="18">
        <v>12</v>
      </c>
      <c r="G33" s="6" t="s">
        <v>50</v>
      </c>
      <c r="H33" s="2">
        <v>32.666666666666664</v>
      </c>
      <c r="J33" s="6" t="s">
        <v>50</v>
      </c>
      <c r="K33" s="2">
        <v>2.6666666666666665</v>
      </c>
    </row>
    <row r="34" spans="1:11" x14ac:dyDescent="0.3">
      <c r="D34" s="4" t="s">
        <v>51</v>
      </c>
      <c r="E34" s="18">
        <v>14</v>
      </c>
      <c r="G34" s="6" t="s">
        <v>51</v>
      </c>
      <c r="H34" s="2">
        <v>30.571428571428573</v>
      </c>
      <c r="J34" s="6" t="s">
        <v>51</v>
      </c>
      <c r="K34" s="2">
        <v>4</v>
      </c>
    </row>
    <row r="35" spans="1:11" x14ac:dyDescent="0.3">
      <c r="D35" s="4" t="s">
        <v>52</v>
      </c>
      <c r="E35" s="18">
        <v>18</v>
      </c>
      <c r="G35" s="6" t="s">
        <v>52</v>
      </c>
      <c r="H35" s="2">
        <v>39.055555555555557</v>
      </c>
      <c r="J35" s="6" t="s">
        <v>52</v>
      </c>
      <c r="K35" s="2">
        <v>8.75</v>
      </c>
    </row>
    <row r="36" spans="1:11" x14ac:dyDescent="0.3">
      <c r="D36" s="4" t="s">
        <v>5</v>
      </c>
      <c r="E36" s="18">
        <v>506</v>
      </c>
      <c r="G36" s="6" t="s">
        <v>5</v>
      </c>
      <c r="H36" s="2">
        <v>35.879446640316203</v>
      </c>
      <c r="J36" s="6" t="s">
        <v>5</v>
      </c>
      <c r="K36" s="2">
        <v>5.3277310924369745</v>
      </c>
    </row>
    <row r="41" spans="1:11" x14ac:dyDescent="0.3">
      <c r="J41" s="8" t="s">
        <v>4</v>
      </c>
      <c r="K41" s="9" t="s">
        <v>21</v>
      </c>
    </row>
    <row r="42" spans="1:11" x14ac:dyDescent="0.3">
      <c r="A42" s="8" t="s">
        <v>4</v>
      </c>
      <c r="B42" s="9" t="s">
        <v>8</v>
      </c>
      <c r="C42" s="9" t="s">
        <v>9</v>
      </c>
      <c r="J42" s="10" t="s">
        <v>13</v>
      </c>
      <c r="K42" s="9">
        <v>64</v>
      </c>
    </row>
    <row r="43" spans="1:11" x14ac:dyDescent="0.3">
      <c r="A43" s="10" t="s">
        <v>6</v>
      </c>
      <c r="B43" s="9">
        <v>253</v>
      </c>
      <c r="C43" s="17">
        <v>0.5</v>
      </c>
      <c r="J43" s="10" t="s">
        <v>14</v>
      </c>
      <c r="K43" s="9">
        <v>66</v>
      </c>
    </row>
    <row r="44" spans="1:11" x14ac:dyDescent="0.3">
      <c r="A44" s="10" t="s">
        <v>7</v>
      </c>
      <c r="B44" s="9">
        <v>253</v>
      </c>
      <c r="C44" s="17">
        <v>0.5</v>
      </c>
      <c r="J44" s="10" t="s">
        <v>15</v>
      </c>
      <c r="K44" s="9">
        <v>65</v>
      </c>
    </row>
    <row r="45" spans="1:11" x14ac:dyDescent="0.3">
      <c r="A45" s="10" t="s">
        <v>5</v>
      </c>
      <c r="B45" s="9">
        <v>506</v>
      </c>
      <c r="C45" s="11">
        <v>1</v>
      </c>
      <c r="J45" s="10" t="s">
        <v>16</v>
      </c>
      <c r="K45" s="9">
        <v>73</v>
      </c>
    </row>
    <row r="46" spans="1:11" x14ac:dyDescent="0.3">
      <c r="J46" s="10" t="s">
        <v>17</v>
      </c>
      <c r="K46" s="9">
        <v>45</v>
      </c>
    </row>
    <row r="47" spans="1:11" x14ac:dyDescent="0.3">
      <c r="J47" s="10" t="s">
        <v>18</v>
      </c>
      <c r="K47" s="9">
        <v>72</v>
      </c>
    </row>
    <row r="48" spans="1:11" x14ac:dyDescent="0.3">
      <c r="J48" s="10" t="s">
        <v>19</v>
      </c>
      <c r="K48" s="9">
        <v>74</v>
      </c>
    </row>
    <row r="49" spans="1:12" x14ac:dyDescent="0.3">
      <c r="J49" s="10" t="s">
        <v>20</v>
      </c>
      <c r="K49" s="9">
        <v>47</v>
      </c>
    </row>
    <row r="50" spans="1:12" x14ac:dyDescent="0.3">
      <c r="J50" s="10" t="s">
        <v>5</v>
      </c>
      <c r="K50" s="9">
        <v>506</v>
      </c>
    </row>
    <row r="52" spans="1:12" x14ac:dyDescent="0.3">
      <c r="A52" s="12" t="s">
        <v>10</v>
      </c>
      <c r="B52" s="12" t="s">
        <v>11</v>
      </c>
      <c r="C52" s="12" t="s">
        <v>12</v>
      </c>
      <c r="D52" s="13"/>
      <c r="E52" s="13"/>
    </row>
    <row r="53" spans="1:12" x14ac:dyDescent="0.3">
      <c r="A53" s="14" t="str">
        <f>A44</f>
        <v>Not Admitted</v>
      </c>
      <c r="B53" s="14">
        <f>B44</f>
        <v>253</v>
      </c>
      <c r="C53" s="15">
        <f>C44</f>
        <v>0.5</v>
      </c>
      <c r="D53" s="16"/>
      <c r="E53" s="16"/>
    </row>
    <row r="54" spans="1:12" x14ac:dyDescent="0.3">
      <c r="A54" s="14" t="str">
        <f>A43</f>
        <v>Admitted</v>
      </c>
      <c r="B54" s="14">
        <f t="shared" ref="B54:C54" si="0">B43</f>
        <v>253</v>
      </c>
      <c r="C54" s="15">
        <f t="shared" si="0"/>
        <v>0.5</v>
      </c>
      <c r="D54" s="16"/>
      <c r="E54" s="16"/>
    </row>
    <row r="60" spans="1:12" x14ac:dyDescent="0.3">
      <c r="A60" s="8" t="s">
        <v>4</v>
      </c>
      <c r="B60" s="9" t="s">
        <v>8</v>
      </c>
      <c r="D60" s="8" t="s">
        <v>4</v>
      </c>
      <c r="E60" s="9" t="s">
        <v>8</v>
      </c>
    </row>
    <row r="61" spans="1:12" x14ac:dyDescent="0.3">
      <c r="A61" s="10" t="s">
        <v>53</v>
      </c>
      <c r="B61" s="17">
        <v>0.61660079051383399</v>
      </c>
      <c r="D61" s="10" t="s">
        <v>55</v>
      </c>
      <c r="E61" s="17">
        <v>0.45652173913043476</v>
      </c>
    </row>
    <row r="62" spans="1:12" x14ac:dyDescent="0.3">
      <c r="A62" s="10" t="s">
        <v>54</v>
      </c>
      <c r="B62" s="17">
        <v>0.38339920948616601</v>
      </c>
      <c r="D62" s="10" t="s">
        <v>56</v>
      </c>
      <c r="E62" s="17">
        <v>0.54347826086956519</v>
      </c>
    </row>
    <row r="63" spans="1:12" x14ac:dyDescent="0.3">
      <c r="A63" s="10" t="s">
        <v>5</v>
      </c>
      <c r="B63" s="17">
        <v>1</v>
      </c>
      <c r="D63" s="10" t="s">
        <v>5</v>
      </c>
      <c r="E63" s="17">
        <v>1</v>
      </c>
      <c r="K63" s="8" t="s">
        <v>4</v>
      </c>
      <c r="L63" s="9" t="s">
        <v>8</v>
      </c>
    </row>
    <row r="64" spans="1:12" x14ac:dyDescent="0.3">
      <c r="K64" s="10" t="s">
        <v>64</v>
      </c>
      <c r="L64" s="18">
        <v>3</v>
      </c>
    </row>
    <row r="65" spans="1:12" x14ac:dyDescent="0.3">
      <c r="K65" s="10" t="s">
        <v>59</v>
      </c>
      <c r="L65" s="18">
        <v>5</v>
      </c>
    </row>
    <row r="66" spans="1:12" x14ac:dyDescent="0.3">
      <c r="K66" s="10" t="s">
        <v>63</v>
      </c>
      <c r="L66" s="18">
        <v>6</v>
      </c>
    </row>
    <row r="67" spans="1:12" x14ac:dyDescent="0.3">
      <c r="K67" s="10" t="s">
        <v>62</v>
      </c>
      <c r="L67" s="18">
        <v>14</v>
      </c>
    </row>
    <row r="68" spans="1:12" x14ac:dyDescent="0.3">
      <c r="K68" s="10" t="s">
        <v>57</v>
      </c>
      <c r="L68" s="18">
        <v>15</v>
      </c>
    </row>
    <row r="69" spans="1:12" x14ac:dyDescent="0.3">
      <c r="A69" s="8" t="s">
        <v>4</v>
      </c>
      <c r="K69" s="10" t="s">
        <v>61</v>
      </c>
      <c r="L69" s="18">
        <v>59</v>
      </c>
    </row>
    <row r="70" spans="1:12" x14ac:dyDescent="0.3">
      <c r="A70" s="10" t="s">
        <v>65</v>
      </c>
      <c r="K70" s="10" t="s">
        <v>58</v>
      </c>
      <c r="L70" s="18">
        <v>93</v>
      </c>
    </row>
    <row r="71" spans="1:12" x14ac:dyDescent="0.3">
      <c r="A71" s="10" t="s">
        <v>5</v>
      </c>
      <c r="K71" s="10" t="s">
        <v>60</v>
      </c>
      <c r="L71" s="18">
        <v>311</v>
      </c>
    </row>
    <row r="72" spans="1:12" x14ac:dyDescent="0.3">
      <c r="K72" s="10" t="s">
        <v>5</v>
      </c>
      <c r="L72" s="18">
        <v>506</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6603A-2EAE-4850-BBDF-44A691518FF8}">
  <dimension ref="A1"/>
  <sheetViews>
    <sheetView tabSelected="1" zoomScale="110" zoomScaleNormal="110" workbookViewId="0">
      <selection activeCell="X6" sqref="X6"/>
    </sheetView>
  </sheetViews>
  <sheetFormatPr defaultRowHeight="14.4" x14ac:dyDescent="0.3"/>
  <cols>
    <col min="1" max="16384" width="8.88671875" style="3"/>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1E936-4A95-471E-A3CA-7068C7034B4E}">
  <dimension ref="A1"/>
  <sheetViews>
    <sheetView showGridLines="0" topLeftCell="CW1" workbookViewId="0">
      <selection activeCell="DJ2" sqref="DJ2"/>
    </sheetView>
  </sheetViews>
  <sheetFormatPr defaultRowHeight="14.4" x14ac:dyDescent="0.3"/>
  <cols>
    <col min="1" max="16384" width="8.88671875" style="7"/>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9D844B7C-BCEC-4AED-BD7F-A9D1DB4A5081}">
  <ds:schemaRefs/>
</ds:datastoreItem>
</file>

<file path=customXml/itemProps2.xml><?xml version="1.0" encoding="utf-8"?>
<ds:datastoreItem xmlns:ds="http://schemas.openxmlformats.org/officeDocument/2006/customXml" ds:itemID="{B09345C5-AF17-49DA-B20D-919A16382CF0}">
  <ds:schemaRefs/>
</ds:datastoreItem>
</file>

<file path=customXml/itemProps3.xml><?xml version="1.0" encoding="utf-8"?>
<ds:datastoreItem xmlns:ds="http://schemas.openxmlformats.org/officeDocument/2006/customXml" ds:itemID="{5986AFCF-952D-489E-879A-05CE565FFF85}">
  <ds:schemaRefs>
    <ds:schemaRef ds:uri="http://schemas.microsoft.com/DataMashup"/>
  </ds:schemaRefs>
</ds:datastoreItem>
</file>

<file path=customXml/itemProps4.xml><?xml version="1.0" encoding="utf-8"?>
<ds:datastoreItem xmlns:ds="http://schemas.openxmlformats.org/officeDocument/2006/customXml" ds:itemID="{3B392185-BD3B-4180-B3BE-C655911A42A1}">
  <ds:schemaRefs/>
</ds:datastoreItem>
</file>

<file path=customXml/itemProps5.xml><?xml version="1.0" encoding="utf-8"?>
<ds:datastoreItem xmlns:ds="http://schemas.openxmlformats.org/officeDocument/2006/customXml" ds:itemID="{9D341379-2BAA-4E24-949A-B3993489A2FA}">
  <ds:schemaRefs/>
</ds:datastoreItem>
</file>

<file path=customXml/itemProps6.xml><?xml version="1.0" encoding="utf-8"?>
<ds:datastoreItem xmlns:ds="http://schemas.openxmlformats.org/officeDocument/2006/customXml" ds:itemID="{0D6805E4-6748-4E37-A1F0-4419C33A112B}">
  <ds:schemaRefs/>
</ds:datastoreItem>
</file>

<file path=customXml/itemProps7.xml><?xml version="1.0" encoding="utf-8"?>
<ds:datastoreItem xmlns:ds="http://schemas.openxmlformats.org/officeDocument/2006/customXml" ds:itemID="{A76103CB-1AE7-4EFE-98EE-DA3EB38340F4}">
  <ds:schemaRefs/>
</ds:datastoreItem>
</file>

<file path=customXml/itemProps8.xml><?xml version="1.0" encoding="utf-8"?>
<ds:datastoreItem xmlns:ds="http://schemas.openxmlformats.org/officeDocument/2006/customXml" ds:itemID="{6A5E4F89-C02A-404D-8671-DDA8C9DC7507}">
  <ds:schemaRefs/>
</ds:datastoreItem>
</file>

<file path=customXml/itemProps9.xml><?xml version="1.0" encoding="utf-8"?>
<ds:datastoreItem xmlns:ds="http://schemas.openxmlformats.org/officeDocument/2006/customXml" ds:itemID="{C7A9D9C4-5C35-4122-B567-354D9C44F0AF}">
  <ds:schemaRefs/>
</ds:datastoreItem>
</file>

<file path=customXml/itemProps10.xml><?xml version="1.0" encoding="utf-8"?>
<ds:datastoreItem xmlns:ds="http://schemas.openxmlformats.org/officeDocument/2006/customXml" ds:itemID="{356332A8-AAAB-4865-B29F-3C1D715F163B}">
  <ds:schemaRefs/>
</ds:datastoreItem>
</file>

<file path=customXml/itemProps11.xml><?xml version="1.0" encoding="utf-8"?>
<ds:datastoreItem xmlns:ds="http://schemas.openxmlformats.org/officeDocument/2006/customXml" ds:itemID="{EBDA7964-1688-4A59-93C9-1CC09581F379}">
  <ds:schemaRefs/>
</ds:datastoreItem>
</file>

<file path=customXml/itemProps12.xml><?xml version="1.0" encoding="utf-8"?>
<ds:datastoreItem xmlns:ds="http://schemas.openxmlformats.org/officeDocument/2006/customXml" ds:itemID="{B0F63E4B-4C23-4ED7-9410-A9754FE06A82}">
  <ds:schemaRefs/>
</ds:datastoreItem>
</file>

<file path=customXml/itemProps13.xml><?xml version="1.0" encoding="utf-8"?>
<ds:datastoreItem xmlns:ds="http://schemas.openxmlformats.org/officeDocument/2006/customXml" ds:itemID="{BFE72F80-1384-4A32-B2F9-9AC64F6B76C6}">
  <ds:schemaRefs/>
</ds:datastoreItem>
</file>

<file path=customXml/itemProps14.xml><?xml version="1.0" encoding="utf-8"?>
<ds:datastoreItem xmlns:ds="http://schemas.openxmlformats.org/officeDocument/2006/customXml" ds:itemID="{6674EA12-B5AD-411E-A8B8-E6CC434E3F15}">
  <ds:schemaRefs/>
</ds:datastoreItem>
</file>

<file path=customXml/itemProps15.xml><?xml version="1.0" encoding="utf-8"?>
<ds:datastoreItem xmlns:ds="http://schemas.openxmlformats.org/officeDocument/2006/customXml" ds:itemID="{F7802FC6-DEE5-4662-873B-69F23AF6248A}">
  <ds:schemaRefs/>
</ds:datastoreItem>
</file>

<file path=customXml/itemProps16.xml><?xml version="1.0" encoding="utf-8"?>
<ds:datastoreItem xmlns:ds="http://schemas.openxmlformats.org/officeDocument/2006/customXml" ds:itemID="{D65FEA1F-ECE5-40D1-BABD-64B9C8C339A8}">
  <ds:schemaRefs/>
</ds:datastoreItem>
</file>

<file path=customXml/itemProps17.xml><?xml version="1.0" encoding="utf-8"?>
<ds:datastoreItem xmlns:ds="http://schemas.openxmlformats.org/officeDocument/2006/customXml" ds:itemID="{5C1C21DD-1B43-4716-8664-23F10AB6617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Pivot</vt:lpstr>
      <vt:lpstr>Dahsboard</vt:lpstr>
      <vt:lpstr>Sheet1</vt:lpstr>
      <vt:lpstr>Chart1</vt:lpstr>
      <vt:lpstr>Chart5</vt:lpstr>
      <vt:lpstr>Chart6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TANMOY DUTTA</dc:creator>
  <cp:lastModifiedBy>TANMOY DUTTA</cp:lastModifiedBy>
  <dcterms:created xsi:type="dcterms:W3CDTF">2026-02-23T14:57:31Z</dcterms:created>
  <dcterms:modified xsi:type="dcterms:W3CDTF">2026-02-25T15:45:32Z</dcterms:modified>
</cp:coreProperties>
</file>